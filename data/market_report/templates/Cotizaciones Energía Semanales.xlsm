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kel.perez\0_Python_Projects - copia\0_Python_projects_v2\data\market_report\templates\"/>
    </mc:Choice>
  </mc:AlternateContent>
  <xr:revisionPtr revIDLastSave="0" documentId="13_ncr:1_{57F17676-AF12-4A51-9C78-A7D793399E8C}" xr6:coauthVersionLast="47" xr6:coauthVersionMax="47" xr10:uidLastSave="{00000000-0000-0000-0000-000000000000}"/>
  <bookViews>
    <workbookView xWindow="-110" yWindow="-110" windowWidth="19420" windowHeight="10300" tabRatio="985" xr2:uid="{5AA09C4F-1376-4700-88DE-014352FD510B}"/>
  </bookViews>
  <sheets>
    <sheet name="Informe" sheetId="2" r:id="rId1"/>
    <sheet name="GNL" sheetId="12" r:id="rId2"/>
    <sheet name="Hoja1" sheetId="26" r:id="rId3"/>
  </sheets>
  <definedNames>
    <definedName name="_xlnm.Print_Area" localSheetId="0">Informe!$A$1:$I$71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56" i="2" l="1"/>
  <c r="I55" i="2"/>
  <c r="H56" i="2"/>
  <c r="H55" i="2"/>
  <c r="F56" i="2"/>
  <c r="C56" i="2"/>
  <c r="E56" i="2"/>
  <c r="F55" i="2"/>
  <c r="C55" i="2"/>
  <c r="E55" i="2"/>
  <c r="B56" i="2"/>
  <c r="B55" i="2"/>
  <c r="I35" i="2"/>
  <c r="H35" i="2"/>
  <c r="I34" i="2"/>
  <c r="H34" i="2"/>
  <c r="E34" i="2"/>
  <c r="F35" i="2"/>
  <c r="E35" i="2"/>
  <c r="F34" i="2"/>
  <c r="C36" i="2"/>
  <c r="B36" i="2"/>
  <c r="C35" i="2"/>
  <c r="B35" i="2"/>
  <c r="C34" i="2"/>
  <c r="B34" i="2"/>
  <c r="H61" i="2"/>
  <c r="B61" i="2"/>
  <c r="K26" i="2"/>
  <c r="B8" i="12" l="1"/>
  <c r="S12" i="12" l="1"/>
  <c r="U8" i="12"/>
  <c r="V8" i="12" s="1"/>
  <c r="D3" i="12"/>
  <c r="C3" i="12"/>
  <c r="B3" i="12"/>
  <c r="U12" i="12" l="1"/>
  <c r="M12" i="12"/>
  <c r="C13" i="12"/>
  <c r="I13" i="12"/>
  <c r="F13" i="12"/>
  <c r="C8" i="12"/>
  <c r="J13" i="12" s="1"/>
  <c r="K12" i="2"/>
  <c r="K9" i="2"/>
  <c r="F3" i="12"/>
  <c r="E3" i="12"/>
  <c r="V12" i="12" l="1"/>
  <c r="X12" i="12" s="1"/>
  <c r="G61" i="2" s="1"/>
  <c r="G65" i="2" s="1"/>
  <c r="N12" i="12"/>
  <c r="O12" i="12" s="1"/>
  <c r="G13" i="12"/>
  <c r="H13" i="12" s="1"/>
  <c r="D13" i="12"/>
  <c r="E13" i="12" s="1"/>
  <c r="K13" i="12"/>
  <c r="W12" i="12" l="1"/>
  <c r="P12" i="12"/>
  <c r="A61" i="2" s="1"/>
  <c r="A65" i="2" s="1"/>
  <c r="Z12" i="12" l="1"/>
  <c r="Y12" i="12"/>
  <c r="AA12" i="12" l="1"/>
</calcChain>
</file>

<file path=xl/sharedStrings.xml><?xml version="1.0" encoding="utf-8"?>
<sst xmlns="http://schemas.openxmlformats.org/spreadsheetml/2006/main" count="269" uniqueCount="207">
  <si>
    <t>FDB YR-26</t>
  </si>
  <si>
    <t>FDB YR-27</t>
  </si>
  <si>
    <t>FDB YR-28</t>
  </si>
  <si>
    <t>FDB YR-29</t>
  </si>
  <si>
    <t>FFB YR-26</t>
  </si>
  <si>
    <t>FFB YR-27</t>
  </si>
  <si>
    <t>FFB YR-28</t>
  </si>
  <si>
    <t>FFB YR-29</t>
  </si>
  <si>
    <t>FTB YR-26</t>
  </si>
  <si>
    <t>FTB YR-27</t>
  </si>
  <si>
    <t>FTB YR-28</t>
  </si>
  <si>
    <t>FTB YR-29</t>
  </si>
  <si>
    <t>FTB YR-30</t>
  </si>
  <si>
    <t>FTB YR-31</t>
  </si>
  <si>
    <t>FTB YR-32</t>
  </si>
  <si>
    <t>FDB YR-30</t>
  </si>
  <si>
    <t>FFB YR-30</t>
  </si>
  <si>
    <t>FTB YR-33</t>
  </si>
  <si>
    <t xml:space="preserve">Cierre de mercado </t>
  </si>
  <si>
    <t>ELECTRICIDAD (€/MWh)</t>
  </si>
  <si>
    <t>Nivel</t>
  </si>
  <si>
    <t>Var. Semana</t>
  </si>
  <si>
    <t>FRANCIA</t>
  </si>
  <si>
    <t>ALEMANIA</t>
  </si>
  <si>
    <t>Referencia 5 Años</t>
  </si>
  <si>
    <t>Referencia 7 Años</t>
  </si>
  <si>
    <t>Referencia 10 Años</t>
  </si>
  <si>
    <t>GAS (€/MWh)</t>
  </si>
  <si>
    <t>Alm. Subterráneo</t>
  </si>
  <si>
    <t>Alm. GNL</t>
  </si>
  <si>
    <t>Henry Hub</t>
  </si>
  <si>
    <t>COMBUSTIBLES Y EMISIONES</t>
  </si>
  <si>
    <t>BRENT ($/Barril)</t>
  </si>
  <si>
    <r>
      <t>CO</t>
    </r>
    <r>
      <rPr>
        <vertAlign val="sub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 xml:space="preserve"> (€/Tn)</t>
    </r>
  </si>
  <si>
    <t>Fuente: OMIP, European Energy Exchange, The ICE</t>
  </si>
  <si>
    <t>[1] Las temporadas (Win-Sum) son periodos de seis meses de contrato individuales y consecutivos. Las Temporadas siempre comprenden los periodos de abril a septiembre (sum o verano) o de octubre a marzo (win o invierno).</t>
  </si>
  <si>
    <t>Última actualización</t>
  </si>
  <si>
    <t>Anterior</t>
  </si>
  <si>
    <t>IBERIA</t>
  </si>
  <si>
    <t>Periodo</t>
  </si>
  <si>
    <t>Cód. API</t>
  </si>
  <si>
    <t>Cód. periodo</t>
  </si>
  <si>
    <t>Precio</t>
  </si>
  <si>
    <t>Var.</t>
  </si>
  <si>
    <t>Día</t>
  </si>
  <si>
    <t>Mes</t>
  </si>
  <si>
    <t>Año</t>
  </si>
  <si>
    <t>Trimestre</t>
  </si>
  <si>
    <t>Temporada</t>
  </si>
  <si>
    <t>Código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</si>
  <si>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</si>
  <si>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</si>
  <si>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</si>
  <si>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</si>
  <si>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</si>
  <si>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</si>
  <si>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</si>
  <si>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</si>
  <si>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</si>
  <si>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</si>
  <si>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</si>
  <si>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Dic</t>
  </si>
  <si>
    <t>Q1</t>
  </si>
  <si>
    <t>Q2</t>
  </si>
  <si>
    <t>Q3</t>
  </si>
  <si>
    <t>Q4</t>
  </si>
  <si>
    <t>Win</t>
  </si>
  <si>
    <t>Sum</t>
  </si>
  <si>
    <t>Precio ant.</t>
  </si>
  <si>
    <t>Fecha producto</t>
  </si>
  <si>
    <t>France</t>
  </si>
  <si>
    <t>Germany</t>
  </si>
  <si>
    <t>Spain</t>
  </si>
  <si>
    <t>Almacenamiento</t>
  </si>
  <si>
    <t>GNL</t>
  </si>
  <si>
    <t>Producto</t>
  </si>
  <si>
    <t>España</t>
  </si>
  <si>
    <t>Francia</t>
  </si>
  <si>
    <t>Alemania</t>
  </si>
  <si>
    <t>Nivel ant.</t>
  </si>
  <si>
    <t>Herny-Hub</t>
  </si>
  <si>
    <t>NWE LNG EU</t>
  </si>
  <si>
    <t>Nombre de archivo</t>
  </si>
  <si>
    <t>Destinatarios</t>
  </si>
  <si>
    <t>hanspeder.knudsen@sundolitt.com</t>
  </si>
  <si>
    <t>jgarcia@iptrilla.es</t>
  </si>
  <si>
    <t>jvicente@iptrilla.es</t>
  </si>
  <si>
    <t>gflores@grpr.com</t>
  </si>
  <si>
    <t>Mruizg@grpr.com</t>
  </si>
  <si>
    <t>aserrahima@cataloniafundacio.cat</t>
  </si>
  <si>
    <t>jmartinez@plazario2.com</t>
  </si>
  <si>
    <t>uxue.crespo@kemone.com</t>
  </si>
  <si>
    <t>javier.goyena@kemone.com</t>
  </si>
  <si>
    <t>i.arnaiz@covex.com</t>
  </si>
  <si>
    <t>jose.jimenez@ti-films.com</t>
  </si>
  <si>
    <t>luis.serra@ti-films.com</t>
  </si>
  <si>
    <t>c.martinez@covex.com</t>
  </si>
  <si>
    <t>santiago.izquierdo@ti-films.com</t>
  </si>
  <si>
    <t>fabio.pardo@isomed.com</t>
  </si>
  <si>
    <t>mario.gomez@ethypharm.com </t>
  </si>
  <si>
    <t>jbarahona@vyosa.es</t>
  </si>
  <si>
    <t>jmartinez@vyosa.es</t>
  </si>
  <si>
    <t>l.rodriguez@montfrisa.es</t>
  </si>
  <si>
    <t>l.sanchezdelrio@montfrisa.es</t>
  </si>
  <si>
    <t>pedro.cantuel@celticaenergia.com</t>
  </si>
  <si>
    <t>raul.pinedo@ethypharm.com</t>
  </si>
  <si>
    <t>felix.gonzalez@witzenmann.com</t>
  </si>
  <si>
    <t>ignacio.cavero@colegio-estudio.com</t>
  </si>
  <si>
    <t>iramos@grpr.com</t>
  </si>
  <si>
    <t>pplasencia@vyosa.es</t>
  </si>
  <si>
    <t>patricia.galceran@inspirededu.com</t>
  </si>
  <si>
    <t>angela.sanchez@nexaliaservices.com</t>
  </si>
  <si>
    <t>pilar.gutierrez@inspirededu.com</t>
  </si>
  <si>
    <t>Email</t>
  </si>
  <si>
    <t>Nombre</t>
  </si>
  <si>
    <t>HAY QUE METER A MANO EL "NWE LNG EU" EN LA HOJA "GNL"</t>
  </si>
  <si>
    <t>Asunto</t>
  </si>
  <si>
    <t>Cuerpo del email</t>
  </si>
  <si>
    <t>Saludo</t>
  </si>
  <si>
    <t>Texto</t>
  </si>
  <si>
    <t>Despedida</t>
  </si>
  <si>
    <t>NWE LNG (Spark) Futures | ICE</t>
  </si>
  <si>
    <t>Pedro</t>
  </si>
  <si>
    <t>GAS NATURAL LICUADO  (€/MWh)</t>
  </si>
  <si>
    <t>a.garcia@isomed.com</t>
  </si>
  <si>
    <t>fjfernandez@letro.es</t>
  </si>
  <si>
    <t>FDB Q2-25</t>
  </si>
  <si>
    <t>FFB Q2-25</t>
  </si>
  <si>
    <t>FTB Q2-25</t>
  </si>
  <si>
    <t>FDB Q3-25</t>
  </si>
  <si>
    <t>FFB Q3-25</t>
  </si>
  <si>
    <t>FTB Q3-25</t>
  </si>
  <si>
    <t>NWE LNG EU [2]</t>
  </si>
  <si>
    <t>[2] Precio de referencia del gas natural licuado en Europa</t>
  </si>
  <si>
    <t>Adjuntamos evolución de precios de la energía de la semana pasada.</t>
  </si>
  <si>
    <t>Buenos días,</t>
  </si>
  <si>
    <t>Un saludo.</t>
  </si>
  <si>
    <t>MIBGAS [1]</t>
  </si>
  <si>
    <t>Darmigny.Stephanie@ethypharm.com</t>
  </si>
  <si>
    <t>begona.ortuzar@ethypharm.com</t>
  </si>
  <si>
    <t>FDB Q4-25</t>
  </si>
  <si>
    <t>FDB YR-31</t>
  </si>
  <si>
    <t>FFB Q4-25</t>
  </si>
  <si>
    <t>FFB YR-31</t>
  </si>
  <si>
    <t>FTB Q4-25</t>
  </si>
  <si>
    <t>FTB YR-34</t>
  </si>
  <si>
    <t>josejuan.garcia@ignis.es</t>
  </si>
  <si>
    <t>carlos.garcia@ignis.es</t>
  </si>
  <si>
    <t>valentin.gonzalez@ignis.es</t>
  </si>
  <si>
    <t>raquel.francisco@ignis.es</t>
  </si>
  <si>
    <t>virginianunez@cataloniafundacio.cat</t>
  </si>
  <si>
    <t>FDB Q1-26</t>
  </si>
  <si>
    <t>FFB Q1-26</t>
  </si>
  <si>
    <t>FTB Q1-26</t>
  </si>
  <si>
    <t>FDB Q2-26</t>
  </si>
  <si>
    <t>FFB Q2-26</t>
  </si>
  <si>
    <t>FTB Q2-26</t>
  </si>
  <si>
    <t>david.serrano@ignis.es</t>
  </si>
  <si>
    <t>pedro.cantuel@ignis.es</t>
  </si>
  <si>
    <t>FDB M Apr-25</t>
  </si>
  <si>
    <t>FDB Q3-26</t>
  </si>
  <si>
    <t>FFB M Apr-25</t>
  </si>
  <si>
    <t>FFB Q3-26</t>
  </si>
  <si>
    <t>FTB M Apr-25</t>
  </si>
  <si>
    <t>FTB Q3-26</t>
  </si>
  <si>
    <t>Francisco.Perez@stef.com</t>
  </si>
  <si>
    <t>Jorge.Anton@stef.com</t>
  </si>
  <si>
    <t>jm.aranguez@montfrisa.es</t>
  </si>
  <si>
    <t>FDB M May-25</t>
  </si>
  <si>
    <t>FFB M May-25</t>
  </si>
  <si>
    <t>FTB M May-25</t>
  </si>
  <si>
    <t>FDB M Jun-25</t>
  </si>
  <si>
    <t>FFB M Jun-25</t>
  </si>
  <si>
    <t>FTB M Jun-25</t>
  </si>
  <si>
    <t>FDB M Jul-25</t>
  </si>
  <si>
    <t>FDB Q4-26</t>
  </si>
  <si>
    <t>FDB YR-32</t>
  </si>
  <si>
    <t>FFB M Jul-25</t>
  </si>
  <si>
    <t>FFB Q4-26</t>
  </si>
  <si>
    <t>FFB YR-32</t>
  </si>
  <si>
    <t>FTB M Jul-25</t>
  </si>
  <si>
    <t>FTB Q4-26</t>
  </si>
  <si>
    <t>FTB YR-35</t>
  </si>
  <si>
    <t>sindia.casado@celticaenergia.com</t>
  </si>
  <si>
    <t>FDB M Aug-25</t>
  </si>
  <si>
    <t>FFB M Aug-25</t>
  </si>
  <si>
    <t>FTB M Aug-25</t>
  </si>
  <si>
    <t>FDB M Sep-25</t>
  </si>
  <si>
    <t>FFB M Sep-25</t>
  </si>
  <si>
    <t>FTB M Sep-25</t>
  </si>
  <si>
    <t>USDEUR</t>
  </si>
  <si>
    <t>jfa@covex.com</t>
  </si>
  <si>
    <t>M Apr-25</t>
  </si>
  <si>
    <t>M May-25</t>
  </si>
  <si>
    <t>M Jun-25</t>
  </si>
  <si>
    <t>Q1-26</t>
  </si>
  <si>
    <t>Q2-25</t>
  </si>
  <si>
    <t>Q3-25</t>
  </si>
  <si>
    <t>Q4-25</t>
  </si>
  <si>
    <t>Sum-25</t>
  </si>
  <si>
    <t>Sum-26</t>
  </si>
  <si>
    <t>Win 25-26</t>
  </si>
  <si>
    <t>YR-26</t>
  </si>
  <si>
    <t>YR-27</t>
  </si>
  <si>
    <t>Current</t>
  </si>
  <si>
    <t>AGSI</t>
  </si>
  <si>
    <t>Alsi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</si>
</sst>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$-F800]dddd\,\ mmmm\ dd\,\ yyyy"/>
    <numFmt numFmtId="165" formatCode="0.0"/>
    <numFmt numFmtId="166" formatCode="#,##0.0"/>
    <numFmt numFmtId="167" formatCode="[$-C0A]mmmm\-yy;@"/>
    <numFmt numFmtId="168" formatCode="0.000"/>
  </numFmts>
  <fonts count="2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 tint="0.1499984740745262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 tint="0.14999847407452621"/>
      <name val="Calibri"/>
      <family val="2"/>
      <scheme val="minor"/>
    </font>
    <font>
      <sz val="10"/>
      <color rgb="FF004987"/>
      <name val="Calibri"/>
      <family val="2"/>
      <scheme val="minor"/>
    </font>
    <font>
      <sz val="1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vertAlign val="subscript"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0"/>
      <name val="Calibri"/>
      <family val="2"/>
      <scheme val="minor"/>
    </font>
    <font>
      <sz val="10"/>
      <color theme="2" tint="-0.89999084444715716"/>
      <name val="Montserrat"/>
    </font>
    <font>
      <sz val="11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29AAB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4B87"/>
        <bgColor indexed="64"/>
      </patternFill>
    </fill>
    <fill>
      <patternFill patternType="lightUp">
        <bgColor theme="0" tint="-4.9989318521683403E-2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37">
    <border>
      <left/>
      <right/>
      <top/>
      <bottom/>
      <diagonal/>
    </border>
    <border>
      <left style="medium">
        <color theme="6"/>
      </left>
      <right/>
      <top style="medium">
        <color theme="6"/>
      </top>
      <bottom/>
      <diagonal/>
    </border>
    <border>
      <left/>
      <right style="medium">
        <color theme="6"/>
      </right>
      <top style="medium">
        <color theme="6"/>
      </top>
      <bottom/>
      <diagonal/>
    </border>
    <border>
      <left style="medium">
        <color rgb="FF29AABD"/>
      </left>
      <right/>
      <top style="medium">
        <color rgb="FF29AABD"/>
      </top>
      <bottom/>
      <diagonal/>
    </border>
    <border>
      <left/>
      <right/>
      <top style="medium">
        <color rgb="FF29AABD"/>
      </top>
      <bottom/>
      <diagonal/>
    </border>
    <border>
      <left/>
      <right style="medium">
        <color rgb="FF29AABD"/>
      </right>
      <top style="medium">
        <color rgb="FF29AABD"/>
      </top>
      <bottom/>
      <diagonal/>
    </border>
    <border>
      <left style="medium">
        <color theme="6"/>
      </left>
      <right/>
      <top/>
      <bottom/>
      <diagonal/>
    </border>
    <border>
      <left/>
      <right style="medium">
        <color theme="6"/>
      </right>
      <top/>
      <bottom/>
      <diagonal/>
    </border>
    <border>
      <left style="medium">
        <color rgb="FF29AABD"/>
      </left>
      <right/>
      <top/>
      <bottom/>
      <diagonal/>
    </border>
    <border>
      <left/>
      <right style="medium">
        <color rgb="FF29AABD"/>
      </right>
      <top/>
      <bottom/>
      <diagonal/>
    </border>
    <border>
      <left style="medium">
        <color rgb="FF29AABD"/>
      </left>
      <right style="thin">
        <color rgb="FF29AABD"/>
      </right>
      <top style="medium">
        <color rgb="FF29AABD"/>
      </top>
      <bottom style="thin">
        <color rgb="FF29AABD"/>
      </bottom>
      <diagonal/>
    </border>
    <border>
      <left style="medium">
        <color rgb="FF29AABD"/>
      </left>
      <right/>
      <top/>
      <bottom style="medium">
        <color rgb="FF29AABD"/>
      </bottom>
      <diagonal/>
    </border>
    <border>
      <left/>
      <right style="medium">
        <color rgb="FF29AABD"/>
      </right>
      <top/>
      <bottom style="medium">
        <color rgb="FF29AABD"/>
      </bottom>
      <diagonal/>
    </border>
    <border>
      <left style="medium">
        <color theme="6"/>
      </left>
      <right/>
      <top/>
      <bottom style="medium">
        <color theme="6"/>
      </bottom>
      <diagonal/>
    </border>
    <border>
      <left/>
      <right style="medium">
        <color theme="6"/>
      </right>
      <top/>
      <bottom style="medium">
        <color theme="6"/>
      </bottom>
      <diagonal/>
    </border>
    <border>
      <left/>
      <right/>
      <top/>
      <bottom style="medium">
        <color rgb="FF29AABD"/>
      </bottom>
      <diagonal/>
    </border>
    <border>
      <left/>
      <right/>
      <top/>
      <bottom style="thin">
        <color rgb="FF004987"/>
      </bottom>
      <diagonal/>
    </border>
    <border>
      <left style="thin">
        <color rgb="FF29AABD"/>
      </left>
      <right/>
      <top/>
      <bottom style="medium">
        <color rgb="FF29AABD"/>
      </bottom>
      <diagonal/>
    </border>
    <border>
      <left style="thin">
        <color rgb="FF29AABD"/>
      </left>
      <right style="medium">
        <color rgb="FF29AABD"/>
      </right>
      <top style="medium">
        <color rgb="FF29AABD"/>
      </top>
      <bottom style="thin">
        <color rgb="FF29AABD"/>
      </bottom>
      <diagonal/>
    </border>
    <border>
      <left/>
      <right/>
      <top style="medium">
        <color theme="6"/>
      </top>
      <bottom/>
      <diagonal/>
    </border>
    <border>
      <left/>
      <right/>
      <top/>
      <bottom style="medium">
        <color theme="6"/>
      </bottom>
      <diagonal/>
    </border>
    <border>
      <left style="thin">
        <color rgb="FF29AABD"/>
      </left>
      <right/>
      <top/>
      <bottom/>
      <diagonal/>
    </border>
    <border>
      <left style="thin">
        <color rgb="FF29AABD"/>
      </left>
      <right style="medium">
        <color rgb="FF29AABD"/>
      </right>
      <top style="thin">
        <color rgb="FF29AABD"/>
      </top>
      <bottom style="thin">
        <color rgb="FF29AABD"/>
      </bottom>
      <diagonal/>
    </border>
    <border>
      <left style="medium">
        <color rgb="FF29AABD"/>
      </left>
      <right style="thin">
        <color rgb="FF29AABD"/>
      </right>
      <top style="thin">
        <color rgb="FF29AABD"/>
      </top>
      <bottom style="thin">
        <color rgb="FF29AABD"/>
      </bottom>
      <diagonal/>
    </border>
    <border>
      <left style="medium">
        <color rgb="FF29AABD"/>
      </left>
      <right style="medium">
        <color rgb="FF29AABD"/>
      </right>
      <top style="thin">
        <color rgb="FF29AABD"/>
      </top>
      <bottom style="thin">
        <color rgb="FF29AABD"/>
      </bottom>
      <diagonal/>
    </border>
    <border>
      <left style="medium">
        <color rgb="FF29AABD"/>
      </left>
      <right style="thin">
        <color rgb="FF29AABD"/>
      </right>
      <top style="thin">
        <color rgb="FF29AABD"/>
      </top>
      <bottom style="medium">
        <color rgb="FF29AABD"/>
      </bottom>
      <diagonal/>
    </border>
    <border>
      <left style="thin">
        <color rgb="FF29AABD"/>
      </left>
      <right style="medium">
        <color rgb="FF29AABD"/>
      </right>
      <top style="thin">
        <color rgb="FF29AABD"/>
      </top>
      <bottom style="medium">
        <color rgb="FF29AABD"/>
      </bottom>
      <diagonal/>
    </border>
    <border>
      <left style="medium">
        <color rgb="FF29AABD"/>
      </left>
      <right/>
      <top style="thin">
        <color rgb="FF29AABD"/>
      </top>
      <bottom style="thin">
        <color rgb="FF29AABD"/>
      </bottom>
      <diagonal/>
    </border>
    <border>
      <left/>
      <right style="medium">
        <color rgb="FF29AABD"/>
      </right>
      <top style="thin">
        <color rgb="FF29AABD"/>
      </top>
      <bottom style="thin">
        <color rgb="FF29AABD"/>
      </bottom>
      <diagonal/>
    </border>
    <border>
      <left style="medium">
        <color rgb="FF29AABD"/>
      </left>
      <right/>
      <top style="thin">
        <color rgb="FF29AABD"/>
      </top>
      <bottom style="medium">
        <color rgb="FF29AABD"/>
      </bottom>
      <diagonal/>
    </border>
    <border>
      <left/>
      <right style="medium">
        <color rgb="FF29AABD"/>
      </right>
      <top style="thin">
        <color rgb="FF29AABD"/>
      </top>
      <bottom style="medium">
        <color rgb="FF29AABD"/>
      </bottom>
      <diagonal/>
    </border>
    <border>
      <left style="medium">
        <color rgb="FF29AABD"/>
      </left>
      <right/>
      <top style="thin">
        <color rgb="FF29AABD"/>
      </top>
      <bottom/>
      <diagonal/>
    </border>
    <border>
      <left/>
      <right style="medium">
        <color rgb="FF29AABD"/>
      </right>
      <top style="thin">
        <color rgb="FF29AABD"/>
      </top>
      <bottom/>
      <diagonal/>
    </border>
    <border>
      <left style="medium">
        <color rgb="FF29AABD"/>
      </left>
      <right/>
      <top/>
      <bottom style="thin">
        <color rgb="FF29AABD"/>
      </bottom>
      <diagonal/>
    </border>
    <border>
      <left/>
      <right style="medium">
        <color rgb="FF29AABD"/>
      </right>
      <top/>
      <bottom style="thin">
        <color rgb="FF29AABD"/>
      </bottom>
      <diagonal/>
    </border>
    <border>
      <left style="medium">
        <color rgb="FF29AABD"/>
      </left>
      <right/>
      <top style="medium">
        <color rgb="FF29AABD"/>
      </top>
      <bottom style="thin">
        <color rgb="FF29AABD"/>
      </bottom>
      <diagonal/>
    </border>
    <border>
      <left/>
      <right style="medium">
        <color rgb="FF29AABD"/>
      </right>
      <top style="medium">
        <color rgb="FF29AABD"/>
      </top>
      <bottom style="thin">
        <color rgb="FF29AABD"/>
      </bottom>
      <diagonal/>
    </border>
  </borders>
  <cellStyleXfs count="5">
    <xf numFmtId="0" fontId="0" fillId="0" borderId="0"/>
    <xf numFmtId="9" fontId="3" fillId="0" borderId="0" applyFont="0" applyFill="0" applyBorder="0" applyAlignment="0" applyProtection="0"/>
    <xf numFmtId="0" fontId="14" fillId="0" borderId="0"/>
    <xf numFmtId="0" fontId="15" fillId="0" borderId="0"/>
    <xf numFmtId="0" fontId="16" fillId="0" borderId="0" applyNumberFormat="0" applyFill="0" applyBorder="0" applyAlignment="0" applyProtection="0"/>
  </cellStyleXfs>
  <cellXfs count="110">
    <xf numFmtId="0" fontId="0" fillId="0" borderId="0" xfId="0"/>
    <xf numFmtId="0" fontId="0" fillId="0" borderId="0" xfId="0" applyAlignment="1">
      <alignment vertical="center"/>
    </xf>
    <xf numFmtId="9" fontId="0" fillId="0" borderId="0" xfId="1" applyFont="1" applyAlignment="1">
      <alignment vertical="center"/>
    </xf>
    <xf numFmtId="0" fontId="4" fillId="6" borderId="0" xfId="0" applyFont="1" applyFill="1" applyAlignment="1">
      <alignment horizontal="left" vertical="center"/>
    </xf>
    <xf numFmtId="0" fontId="0" fillId="6" borderId="0" xfId="0" applyFill="1" applyAlignment="1">
      <alignment vertical="center"/>
    </xf>
    <xf numFmtId="9" fontId="0" fillId="6" borderId="0" xfId="1" applyFont="1" applyFill="1" applyAlignment="1">
      <alignment vertical="center"/>
    </xf>
    <xf numFmtId="9" fontId="6" fillId="6" borderId="0" xfId="1" applyFont="1" applyFill="1" applyAlignment="1">
      <alignment horizontal="right" vertical="center"/>
    </xf>
    <xf numFmtId="0" fontId="0" fillId="0" borderId="16" xfId="0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9" fontId="7" fillId="0" borderId="16" xfId="1" applyFont="1" applyBorder="1" applyAlignment="1">
      <alignment horizontal="center" vertical="center"/>
    </xf>
    <xf numFmtId="17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9" fontId="8" fillId="0" borderId="0" xfId="1" applyFon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9" fontId="6" fillId="0" borderId="0" xfId="1" applyFont="1" applyFill="1" applyAlignment="1">
      <alignment horizontal="center" vertical="center"/>
    </xf>
    <xf numFmtId="17" fontId="0" fillId="8" borderId="0" xfId="0" applyNumberFormat="1" applyFill="1" applyAlignment="1">
      <alignment horizontal="center" vertical="center"/>
    </xf>
    <xf numFmtId="2" fontId="0" fillId="8" borderId="0" xfId="0" applyNumberFormat="1" applyFill="1" applyAlignment="1">
      <alignment horizontal="center" vertical="center"/>
    </xf>
    <xf numFmtId="9" fontId="6" fillId="8" borderId="0" xfId="1" applyFont="1" applyFill="1" applyAlignment="1">
      <alignment horizontal="center" vertical="center"/>
    </xf>
    <xf numFmtId="17" fontId="9" fillId="0" borderId="0" xfId="0" applyNumberFormat="1" applyFont="1" applyAlignment="1">
      <alignment horizontal="center" vertical="center"/>
    </xf>
    <xf numFmtId="9" fontId="0" fillId="8" borderId="0" xfId="1" applyFont="1" applyFill="1" applyAlignment="1">
      <alignment horizontal="center" vertical="center"/>
    </xf>
    <xf numFmtId="17" fontId="10" fillId="0" borderId="0" xfId="0" applyNumberFormat="1" applyFont="1" applyAlignment="1">
      <alignment horizontal="center" vertical="center"/>
    </xf>
    <xf numFmtId="9" fontId="0" fillId="0" borderId="0" xfId="1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9" fontId="0" fillId="0" borderId="0" xfId="1" applyFont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 wrapText="1"/>
    </xf>
    <xf numFmtId="0" fontId="10" fillId="0" borderId="16" xfId="0" applyFont="1" applyBorder="1" applyAlignment="1">
      <alignment horizontal="center" vertical="center"/>
    </xf>
    <xf numFmtId="0" fontId="12" fillId="2" borderId="1" xfId="0" applyFont="1" applyFill="1" applyBorder="1" applyAlignment="1">
      <alignment horizontal="center" vertical="center"/>
    </xf>
    <xf numFmtId="0" fontId="12" fillId="2" borderId="2" xfId="0" applyFont="1" applyFill="1" applyBorder="1" applyAlignment="1">
      <alignment horizontal="center" vertical="center"/>
    </xf>
    <xf numFmtId="14" fontId="0" fillId="0" borderId="13" xfId="0" applyNumberFormat="1" applyBorder="1" applyAlignment="1">
      <alignment horizontal="center" vertical="center"/>
    </xf>
    <xf numFmtId="14" fontId="0" fillId="0" borderId="14" xfId="0" applyNumberFormat="1" applyBorder="1" applyAlignment="1">
      <alignment horizontal="center" vertical="center"/>
    </xf>
    <xf numFmtId="0" fontId="2" fillId="3" borderId="18" xfId="0" applyFont="1" applyFill="1" applyBorder="1" applyAlignment="1">
      <alignment horizontal="center"/>
    </xf>
    <xf numFmtId="0" fontId="12" fillId="2" borderId="19" xfId="0" applyFont="1" applyFill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12" fillId="2" borderId="6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2" fillId="2" borderId="13" xfId="0" applyFont="1" applyFill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2" fillId="3" borderId="0" xfId="0" applyFont="1" applyFill="1" applyAlignment="1">
      <alignment horizontal="center"/>
    </xf>
    <xf numFmtId="0" fontId="0" fillId="4" borderId="0" xfId="0" applyFill="1" applyAlignment="1">
      <alignment horizontal="center" vertical="center"/>
    </xf>
    <xf numFmtId="9" fontId="0" fillId="4" borderId="0" xfId="1" applyFont="1" applyFill="1" applyAlignment="1">
      <alignment horizontal="center" vertical="center"/>
    </xf>
    <xf numFmtId="9" fontId="13" fillId="0" borderId="0" xfId="1" applyFont="1" applyFill="1" applyAlignment="1">
      <alignment horizontal="center" vertical="center"/>
    </xf>
    <xf numFmtId="14" fontId="0" fillId="5" borderId="13" xfId="0" applyNumberFormat="1" applyFill="1" applyBorder="1" applyAlignment="1">
      <alignment horizontal="center" vertical="center"/>
    </xf>
    <xf numFmtId="14" fontId="0" fillId="5" borderId="14" xfId="0" applyNumberFormat="1" applyFill="1" applyBorder="1" applyAlignment="1">
      <alignment horizontal="center" vertical="center"/>
    </xf>
    <xf numFmtId="167" fontId="0" fillId="4" borderId="0" xfId="0" applyNumberFormat="1" applyFill="1" applyAlignment="1">
      <alignment horizontal="center" vertical="center"/>
    </xf>
    <xf numFmtId="14" fontId="0" fillId="4" borderId="0" xfId="0" applyNumberFormat="1" applyFill="1" applyAlignment="1">
      <alignment horizontal="center" vertical="center"/>
    </xf>
    <xf numFmtId="165" fontId="0" fillId="4" borderId="0" xfId="0" applyNumberFormat="1" applyFill="1" applyAlignment="1">
      <alignment horizontal="center" vertical="center"/>
    </xf>
    <xf numFmtId="0" fontId="16" fillId="0" borderId="0" xfId="4"/>
    <xf numFmtId="0" fontId="17" fillId="0" borderId="0" xfId="0" applyFont="1"/>
    <xf numFmtId="0" fontId="0" fillId="0" borderId="23" xfId="0" applyBorder="1"/>
    <xf numFmtId="0" fontId="0" fillId="5" borderId="22" xfId="0" applyFill="1" applyBorder="1"/>
    <xf numFmtId="0" fontId="0" fillId="0" borderId="25" xfId="0" applyBorder="1"/>
    <xf numFmtId="0" fontId="0" fillId="5" borderId="26" xfId="0" applyFill="1" applyBorder="1"/>
    <xf numFmtId="0" fontId="2" fillId="3" borderId="22" xfId="0" applyFont="1" applyFill="1" applyBorder="1" applyAlignment="1">
      <alignment horizontal="center"/>
    </xf>
    <xf numFmtId="0" fontId="2" fillId="3" borderId="24" xfId="0" applyFont="1" applyFill="1" applyBorder="1" applyAlignment="1">
      <alignment horizontal="center"/>
    </xf>
    <xf numFmtId="17" fontId="4" fillId="9" borderId="0" xfId="0" applyNumberFormat="1" applyFont="1" applyFill="1" applyAlignment="1">
      <alignment horizontal="left" vertical="center"/>
    </xf>
    <xf numFmtId="2" fontId="4" fillId="9" borderId="0" xfId="0" applyNumberFormat="1" applyFont="1" applyFill="1" applyAlignment="1">
      <alignment horizontal="center" vertical="center"/>
    </xf>
    <xf numFmtId="9" fontId="20" fillId="9" borderId="0" xfId="1" applyFont="1" applyFill="1" applyAlignment="1">
      <alignment horizontal="center" vertical="center"/>
    </xf>
    <xf numFmtId="17" fontId="4" fillId="9" borderId="0" xfId="0" applyNumberFormat="1" applyFont="1" applyFill="1" applyAlignment="1">
      <alignment horizontal="center" vertical="center"/>
    </xf>
    <xf numFmtId="0" fontId="21" fillId="0" borderId="0" xfId="0" applyFont="1" applyAlignment="1">
      <alignment vertical="center"/>
    </xf>
    <xf numFmtId="9" fontId="21" fillId="0" borderId="0" xfId="1" applyFont="1" applyAlignment="1">
      <alignment vertical="center"/>
    </xf>
    <xf numFmtId="0" fontId="21" fillId="0" borderId="0" xfId="0" applyFont="1" applyAlignment="1">
      <alignment horizontal="left" vertical="center"/>
    </xf>
    <xf numFmtId="0" fontId="21" fillId="0" borderId="0" xfId="0" applyFont="1" applyAlignment="1">
      <alignment vertical="center" wrapText="1"/>
    </xf>
    <xf numFmtId="9" fontId="22" fillId="8" borderId="0" xfId="1" applyFont="1" applyFill="1" applyAlignment="1">
      <alignment horizontal="center" vertical="center"/>
    </xf>
    <xf numFmtId="9" fontId="22" fillId="0" borderId="0" xfId="1" applyFont="1" applyFill="1" applyAlignment="1">
      <alignment horizontal="center" vertical="center"/>
    </xf>
    <xf numFmtId="0" fontId="23" fillId="0" borderId="0" xfId="0" applyFont="1"/>
    <xf numFmtId="0" fontId="23" fillId="0" borderId="0" xfId="0" applyFont="1" applyAlignment="1">
      <alignment horizontal="center" vertical="center"/>
    </xf>
    <xf numFmtId="168" fontId="0" fillId="5" borderId="0" xfId="0" applyNumberFormat="1" applyFill="1" applyAlignment="1">
      <alignment horizontal="center" vertical="center"/>
    </xf>
    <xf numFmtId="0" fontId="16" fillId="5" borderId="22" xfId="4" applyFill="1" applyBorder="1" applyAlignment="1">
      <alignment vertical="center"/>
    </xf>
    <xf numFmtId="0" fontId="16" fillId="5" borderId="22" xfId="4" applyFill="1" applyBorder="1"/>
    <xf numFmtId="2" fontId="0" fillId="0" borderId="0" xfId="1" applyNumberFormat="1" applyFont="1" applyFill="1" applyAlignment="1">
      <alignment horizontal="center" vertical="center"/>
    </xf>
    <xf numFmtId="0" fontId="21" fillId="0" borderId="0" xfId="0" applyFont="1" applyAlignment="1">
      <alignment horizontal="left" vertical="center" wrapText="1"/>
    </xf>
    <xf numFmtId="164" fontId="5" fillId="6" borderId="0" xfId="0" applyNumberFormat="1" applyFont="1" applyFill="1" applyAlignment="1">
      <alignment horizontal="left" vertical="center"/>
    </xf>
    <xf numFmtId="0" fontId="1" fillId="7" borderId="0" xfId="0" applyFont="1" applyFill="1" applyAlignment="1">
      <alignment horizontal="center" vertical="center"/>
    </xf>
    <xf numFmtId="0" fontId="18" fillId="9" borderId="27" xfId="0" applyFont="1" applyFill="1" applyBorder="1" applyAlignment="1">
      <alignment horizontal="center"/>
    </xf>
    <xf numFmtId="0" fontId="18" fillId="9" borderId="28" xfId="0" applyFont="1" applyFill="1" applyBorder="1" applyAlignment="1">
      <alignment horizontal="center"/>
    </xf>
    <xf numFmtId="0" fontId="19" fillId="10" borderId="0" xfId="0" applyFont="1" applyFill="1" applyAlignment="1">
      <alignment horizontal="center" wrapText="1"/>
    </xf>
    <xf numFmtId="0" fontId="2" fillId="3" borderId="3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14" fontId="0" fillId="0" borderId="11" xfId="0" applyNumberFormat="1" applyBorder="1" applyAlignment="1">
      <alignment horizontal="center"/>
    </xf>
    <xf numFmtId="14" fontId="0" fillId="0" borderId="12" xfId="0" applyNumberFormat="1" applyBorder="1" applyAlignment="1">
      <alignment horizontal="center"/>
    </xf>
    <xf numFmtId="0" fontId="2" fillId="3" borderId="35" xfId="0" applyFont="1" applyFill="1" applyBorder="1" applyAlignment="1">
      <alignment horizontal="center"/>
    </xf>
    <xf numFmtId="0" fontId="2" fillId="3" borderId="36" xfId="0" applyFont="1" applyFill="1" applyBorder="1" applyAlignment="1">
      <alignment horizontal="center"/>
    </xf>
    <xf numFmtId="0" fontId="17" fillId="0" borderId="27" xfId="0" applyFont="1" applyBorder="1" applyAlignment="1">
      <alignment horizontal="center"/>
    </xf>
    <xf numFmtId="0" fontId="17" fillId="0" borderId="28" xfId="0" applyFont="1" applyBorder="1" applyAlignment="1">
      <alignment horizontal="center"/>
    </xf>
    <xf numFmtId="0" fontId="0" fillId="5" borderId="31" xfId="0" applyFill="1" applyBorder="1" applyAlignment="1">
      <alignment horizontal="left" vertical="top" wrapText="1"/>
    </xf>
    <xf numFmtId="0" fontId="0" fillId="5" borderId="32" xfId="0" applyFill="1" applyBorder="1" applyAlignment="1">
      <alignment horizontal="left" vertical="top" wrapText="1"/>
    </xf>
    <xf numFmtId="0" fontId="0" fillId="5" borderId="8" xfId="0" applyFill="1" applyBorder="1" applyAlignment="1">
      <alignment horizontal="left" vertical="top" wrapText="1"/>
    </xf>
    <xf numFmtId="0" fontId="0" fillId="5" borderId="9" xfId="0" applyFill="1" applyBorder="1" applyAlignment="1">
      <alignment horizontal="left" vertical="top" wrapText="1"/>
    </xf>
    <xf numFmtId="0" fontId="0" fillId="5" borderId="33" xfId="0" applyFill="1" applyBorder="1" applyAlignment="1">
      <alignment horizontal="left" vertical="top" wrapText="1"/>
    </xf>
    <xf numFmtId="0" fontId="0" fillId="5" borderId="34" xfId="0" applyFill="1" applyBorder="1" applyAlignment="1">
      <alignment horizontal="left" vertical="top" wrapText="1"/>
    </xf>
    <xf numFmtId="0" fontId="0" fillId="5" borderId="27" xfId="0" applyFill="1" applyBorder="1" applyAlignment="1">
      <alignment horizontal="left"/>
    </xf>
    <xf numFmtId="0" fontId="0" fillId="5" borderId="28" xfId="0" applyFill="1" applyBorder="1" applyAlignment="1">
      <alignment horizontal="left"/>
    </xf>
    <xf numFmtId="0" fontId="0" fillId="5" borderId="29" xfId="0" applyFill="1" applyBorder="1" applyAlignment="1">
      <alignment horizontal="left"/>
    </xf>
    <xf numFmtId="0" fontId="0" fillId="5" borderId="30" xfId="0" applyFill="1" applyBorder="1" applyAlignment="1">
      <alignment horizontal="left"/>
    </xf>
    <xf numFmtId="0" fontId="2" fillId="3" borderId="10" xfId="0" applyFont="1" applyFill="1" applyBorder="1" applyAlignment="1">
      <alignment horizontal="center"/>
    </xf>
    <xf numFmtId="0" fontId="2" fillId="3" borderId="18" xfId="0" applyFont="1" applyFill="1" applyBorder="1" applyAlignment="1">
      <alignment horizontal="center"/>
    </xf>
    <xf numFmtId="0" fontId="2" fillId="3" borderId="17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0" xfId="0" applyFont="1" applyFill="1" applyAlignment="1">
      <alignment horizontal="center"/>
    </xf>
    <xf numFmtId="0" fontId="2" fillId="3" borderId="21" xfId="0" applyFont="1" applyFill="1" applyBorder="1" applyAlignment="1">
      <alignment horizontal="center"/>
    </xf>
  </cellXfs>
  <cellStyles count="5">
    <cellStyle name="Hipervínculo" xfId="4" builtinId="8"/>
    <cellStyle name="Normal" xfId="0" builtinId="0"/>
    <cellStyle name="Normal 2" xfId="3" xr:uid="{8A2E1B80-0C7A-455A-A1A2-38AEE9C61722}"/>
    <cellStyle name="Normal 8" xfId="2" xr:uid="{6C3F8730-259D-448B-AC50-5EF11C4125E9}"/>
    <cellStyle name="Porcentaje" xfId="1" builtinId="5"/>
  </cellStyles>
  <dxfs count="10">
    <dxf>
      <font>
        <color rgb="FF00B050"/>
      </font>
    </dxf>
    <dxf>
      <font>
        <color rgb="FF00B050"/>
      </font>
    </dxf>
    <dxf>
      <font>
        <color theme="9" tint="-0.24994659260841701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C00000"/>
      </font>
    </dxf>
  </dxfs>
  <tableStyles count="0" defaultTableStyle="TableStyleMedium2" defaultPivotStyle="PivotStyleLight16"/>
  <colors>
    <mruColors>
      <color rgb="FF29AAB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69725</xdr:colOff>
      <xdr:row>2</xdr:row>
      <xdr:rowOff>120015</xdr:rowOff>
    </xdr:from>
    <xdr:ext cx="531538" cy="466725"/>
    <xdr:pic>
      <xdr:nvPicPr>
        <xdr:cNvPr id="20" name="Picture 1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hq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60045" y="310515"/>
          <a:ext cx="531538" cy="466725"/>
        </a:xfrm>
        <a:prstGeom prst="rect">
          <a:avLst/>
        </a:prstGeom>
      </xdr:spPr>
    </xdr:pic>
    <xdr:clientData/>
  </xdr:oneCellAnchor>
  <xdr:twoCellAnchor editAs="oneCell">
    <xdr:from>
      <xdr:col>1</xdr:col>
      <xdr:colOff>482916</xdr:colOff>
      <xdr:row>1</xdr:row>
      <xdr:rowOff>33655</xdr:rowOff>
    </xdr:from>
    <xdr:to>
      <xdr:col>3</xdr:col>
      <xdr:colOff>387578</xdr:colOff>
      <xdr:row>5</xdr:row>
      <xdr:rowOff>164783</xdr:rowOff>
    </xdr:to>
    <xdr:pic>
      <xdr:nvPicPr>
        <xdr:cNvPr id="21" name="Imagen 1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56257"/>
        <a:stretch/>
      </xdr:blipFill>
      <xdr:spPr>
        <a:xfrm>
          <a:off x="1594166" y="216218"/>
          <a:ext cx="1460412" cy="861378"/>
        </a:xfrm>
        <a:prstGeom prst="rect">
          <a:avLst/>
        </a:prstGeom>
      </xdr:spPr>
    </xdr:pic>
    <xdr:clientData/>
  </xdr:twoCellAnchor>
  <xdr:twoCellAnchor editAs="oneCell">
    <xdr:from>
      <xdr:col>0</xdr:col>
      <xdr:colOff>79218</xdr:colOff>
      <xdr:row>1</xdr:row>
      <xdr:rowOff>9770</xdr:rowOff>
    </xdr:from>
    <xdr:to>
      <xdr:col>1</xdr:col>
      <xdr:colOff>249097</xdr:colOff>
      <xdr:row>5</xdr:row>
      <xdr:rowOff>136188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4993" b="15734"/>
        <a:stretch/>
      </xdr:blipFill>
      <xdr:spPr>
        <a:xfrm>
          <a:off x="7859238" y="93590"/>
          <a:ext cx="1250862" cy="844603"/>
        </a:xfrm>
        <a:prstGeom prst="rect">
          <a:avLst/>
        </a:prstGeom>
      </xdr:spPr>
    </xdr:pic>
    <xdr:clientData/>
  </xdr:twoCellAnchor>
  <xdr:twoCellAnchor>
    <xdr:from>
      <xdr:col>10</xdr:col>
      <xdr:colOff>374228</xdr:colOff>
      <xdr:row>2</xdr:row>
      <xdr:rowOff>0</xdr:rowOff>
    </xdr:from>
    <xdr:to>
      <xdr:col>11</xdr:col>
      <xdr:colOff>945548</xdr:colOff>
      <xdr:row>5</xdr:row>
      <xdr:rowOff>84668</xdr:rowOff>
    </xdr:to>
    <xdr:sp macro="[0]!ActualizarAPIs.ActualizarAPI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337128" y="365760"/>
          <a:ext cx="1440000" cy="633308"/>
        </a:xfrm>
        <a:prstGeom prst="roundRect">
          <a:avLst/>
        </a:prstGeom>
        <a:solidFill>
          <a:srgbClr val="29AABD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200">
              <a:latin typeface="+mj-lt"/>
            </a:rPr>
            <a:t>ACTUALIZAR </a:t>
          </a:r>
          <a:r>
            <a:rPr lang="es-ES" sz="1600">
              <a:latin typeface="+mj-lt"/>
            </a:rPr>
            <a:t>INFORME</a:t>
          </a:r>
          <a:endParaRPr lang="es-ES" sz="1200">
            <a:latin typeface="+mj-lt"/>
          </a:endParaRPr>
        </a:p>
      </xdr:txBody>
    </xdr:sp>
    <xdr:clientData/>
  </xdr:twoCellAnchor>
  <xdr:twoCellAnchor>
    <xdr:from>
      <xdr:col>11</xdr:col>
      <xdr:colOff>1001608</xdr:colOff>
      <xdr:row>1</xdr:row>
      <xdr:rowOff>172722</xdr:rowOff>
    </xdr:from>
    <xdr:to>
      <xdr:col>11</xdr:col>
      <xdr:colOff>2441608</xdr:colOff>
      <xdr:row>5</xdr:row>
      <xdr:rowOff>82976</xdr:rowOff>
    </xdr:to>
    <xdr:sp macro="[0]!EnviarInforme.ENVIARINFORME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9833188" y="355602"/>
          <a:ext cx="1440000" cy="641774"/>
        </a:xfrm>
        <a:prstGeom prst="round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200">
              <a:latin typeface="+mj-lt"/>
            </a:rPr>
            <a:t>ENVIAR </a:t>
          </a:r>
        </a:p>
        <a:p>
          <a:pPr algn="ctr"/>
          <a:r>
            <a:rPr lang="es-ES" sz="1600">
              <a:latin typeface="+mj-lt"/>
            </a:rPr>
            <a:t>INFORME</a:t>
          </a:r>
          <a:endParaRPr lang="es-ES" sz="1200">
            <a:latin typeface="+mj-lt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jm.aranguez@montfrisa.es" TargetMode="External"/><Relationship Id="rId3" Type="http://schemas.openxmlformats.org/officeDocument/2006/relationships/hyperlink" Target="mailto:Darmigny.Stephanie@ethypharm.com" TargetMode="External"/><Relationship Id="rId7" Type="http://schemas.openxmlformats.org/officeDocument/2006/relationships/hyperlink" Target="mailto:david.serrano@ignis.es" TargetMode="External"/><Relationship Id="rId12" Type="http://schemas.openxmlformats.org/officeDocument/2006/relationships/drawing" Target="../drawings/drawing1.xml"/><Relationship Id="rId2" Type="http://schemas.openxmlformats.org/officeDocument/2006/relationships/hyperlink" Target="mailto:pedro.cantuel@celticaenergia.com" TargetMode="External"/><Relationship Id="rId1" Type="http://schemas.openxmlformats.org/officeDocument/2006/relationships/hyperlink" Target="mailto:pedro.cantuel@celticaenergia.com" TargetMode="External"/><Relationship Id="rId6" Type="http://schemas.openxmlformats.org/officeDocument/2006/relationships/hyperlink" Target="mailto:virginianunez@cataloniafundacio.cat" TargetMode="External"/><Relationship Id="rId11" Type="http://schemas.openxmlformats.org/officeDocument/2006/relationships/printerSettings" Target="../printerSettings/printerSettings1.bin"/><Relationship Id="rId5" Type="http://schemas.openxmlformats.org/officeDocument/2006/relationships/hyperlink" Target="mailto:sindia.casado@celticaenergia.com" TargetMode="External"/><Relationship Id="rId10" Type="http://schemas.openxmlformats.org/officeDocument/2006/relationships/hyperlink" Target="mailto:c.martinez@covex.com" TargetMode="External"/><Relationship Id="rId4" Type="http://schemas.openxmlformats.org/officeDocument/2006/relationships/hyperlink" Target="mailto:begona.ortuzar@ethypharm.com" TargetMode="External"/><Relationship Id="rId9" Type="http://schemas.openxmlformats.org/officeDocument/2006/relationships/hyperlink" Target="mailto:jfa@covex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ice.com/products/82725198/NWE-LNG-Spark-Futures/data?marketId=7203187&amp;span=1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4C8DD9-9FA2-44AD-AD72-A92D0D66349B}">
  <sheetPr codeName="Hoja2">
    <pageSetUpPr fitToPage="1"/>
  </sheetPr>
  <dimension ref="A3:S86"/>
  <sheetViews>
    <sheetView showGridLines="0" tabSelected="1" showWhiteSpace="0" topLeftCell="A33" zoomScale="80" zoomScaleNormal="80" zoomScaleSheetLayoutView="100" zoomScalePageLayoutView="41" workbookViewId="0">
      <selection activeCell="F49" sqref="F49"/>
    </sheetView>
  </sheetViews>
  <sheetFormatPr baseColWidth="10" defaultColWidth="5.6328125" defaultRowHeight="14.5" x14ac:dyDescent="0.35"/>
  <cols>
    <col min="1" max="1" width="15.90625" style="1" customWidth="1"/>
    <col min="2" max="2" width="11.54296875" style="1" bestFit="1" customWidth="1"/>
    <col min="3" max="3" width="10.6328125" style="2" bestFit="1" customWidth="1"/>
    <col min="4" max="4" width="14.6328125" style="1" customWidth="1"/>
    <col min="5" max="5" width="8.453125" style="1" bestFit="1" customWidth="1"/>
    <col min="6" max="6" width="12.6328125" style="2" bestFit="1" customWidth="1"/>
    <col min="7" max="7" width="14" style="1" customWidth="1"/>
    <col min="8" max="8" width="8.453125" style="1" bestFit="1" customWidth="1"/>
    <col min="9" max="9" width="12.36328125" style="2" customWidth="1"/>
    <col min="10" max="10" width="7.453125" customWidth="1"/>
    <col min="11" max="11" width="12.6328125" customWidth="1"/>
    <col min="12" max="12" width="43" customWidth="1"/>
    <col min="13" max="13" width="8.08984375" customWidth="1"/>
    <col min="14" max="14" width="8.08984375" bestFit="1" customWidth="1"/>
  </cols>
  <sheetData>
    <row r="3" spans="1:19" x14ac:dyDescent="0.35">
      <c r="N3" s="83" t="s">
        <v>115</v>
      </c>
      <c r="O3" s="83"/>
      <c r="P3" s="83"/>
      <c r="Q3" s="83"/>
      <c r="R3" s="83"/>
      <c r="S3" s="83"/>
    </row>
    <row r="4" spans="1:19" x14ac:dyDescent="0.35">
      <c r="N4" s="83"/>
      <c r="O4" s="83"/>
      <c r="P4" s="83"/>
      <c r="Q4" s="83"/>
      <c r="R4" s="83"/>
      <c r="S4" s="83"/>
    </row>
    <row r="7" spans="1:19" ht="15" thickBot="1" x14ac:dyDescent="0.4"/>
    <row r="8" spans="1:19" ht="14.4" customHeight="1" x14ac:dyDescent="0.35">
      <c r="A8" s="3" t="s">
        <v>18</v>
      </c>
      <c r="B8" s="79">
        <v>45737</v>
      </c>
      <c r="C8" s="79"/>
      <c r="D8" s="79"/>
      <c r="E8" s="4"/>
      <c r="F8" s="5"/>
      <c r="G8" s="4"/>
      <c r="H8" s="4"/>
      <c r="I8" s="6"/>
      <c r="K8" s="84" t="s">
        <v>82</v>
      </c>
      <c r="L8" s="85"/>
    </row>
    <row r="9" spans="1:19" ht="15" thickBot="1" x14ac:dyDescent="0.4">
      <c r="A9" s="80" t="s">
        <v>19</v>
      </c>
      <c r="B9" s="80"/>
      <c r="C9" s="80"/>
      <c r="D9" s="80"/>
      <c r="E9" s="80"/>
      <c r="F9" s="80"/>
      <c r="G9" s="80"/>
      <c r="H9" s="80"/>
      <c r="I9" s="80"/>
      <c r="K9" s="86" t="str">
        <f>"Evolución_Precios_Energía_Semana_"&amp;WEEKNUM(B8)&amp;"_("&amp;TEXT(B8,"dd-mm-aaaa")&amp;")"</f>
        <v>Evolución_Precios_Energía_Semana_12_(21-03-2025)</v>
      </c>
      <c r="L9" s="87"/>
    </row>
    <row r="10" spans="1:19" ht="15" thickBot="1" x14ac:dyDescent="0.4">
      <c r="A10" s="7" t="s">
        <v>38</v>
      </c>
      <c r="B10" s="8" t="s">
        <v>20</v>
      </c>
      <c r="C10" s="9" t="s">
        <v>21</v>
      </c>
      <c r="D10" s="7" t="s">
        <v>22</v>
      </c>
      <c r="E10" s="8" t="s">
        <v>20</v>
      </c>
      <c r="F10" s="9" t="s">
        <v>21</v>
      </c>
      <c r="G10" s="7" t="s">
        <v>23</v>
      </c>
      <c r="H10" s="8" t="s">
        <v>20</v>
      </c>
      <c r="I10" s="9" t="s">
        <v>21</v>
      </c>
    </row>
    <row r="11" spans="1:19" ht="14.4" customHeight="1" x14ac:dyDescent="0.35">
      <c r="A11" s="10" t="s">
        <v>163</v>
      </c>
      <c r="B11" s="11">
        <v>33.5</v>
      </c>
      <c r="C11" s="14">
        <v>-1.7595307917888599E-2</v>
      </c>
      <c r="D11" s="11" t="s">
        <v>161</v>
      </c>
      <c r="E11" s="13">
        <v>55.55</v>
      </c>
      <c r="F11" s="14">
        <v>-0.01</v>
      </c>
      <c r="G11" s="11" t="s">
        <v>159</v>
      </c>
      <c r="H11" s="13">
        <v>81.02</v>
      </c>
      <c r="I11" s="14">
        <v>0</v>
      </c>
      <c r="K11" s="84" t="s">
        <v>116</v>
      </c>
      <c r="L11" s="85"/>
    </row>
    <row r="12" spans="1:19" ht="15" thickBot="1" x14ac:dyDescent="0.4">
      <c r="A12" s="10" t="s">
        <v>186</v>
      </c>
      <c r="B12" s="11">
        <v>75.900000000000006</v>
      </c>
      <c r="C12" s="14">
        <v>-6.58327847267902E-4</v>
      </c>
      <c r="D12" s="11" t="s">
        <v>185</v>
      </c>
      <c r="E12" s="13">
        <v>55.94</v>
      </c>
      <c r="F12" s="14">
        <v>0.04</v>
      </c>
      <c r="G12" s="11" t="s">
        <v>184</v>
      </c>
      <c r="H12" s="13">
        <v>89.13</v>
      </c>
      <c r="I12" s="14">
        <v>0.05</v>
      </c>
      <c r="K12" s="86" t="str">
        <f>"Evolución Precios Energía Semana "&amp;WEEKNUM(B8)&amp;" ("&amp;TEXT(B8,"dd-mm-aaaa")&amp;")"</f>
        <v>Evolución Precios Energía Semana 12 (21-03-2025)</v>
      </c>
      <c r="L12" s="87"/>
      <c r="N12" s="55"/>
    </row>
    <row r="13" spans="1:19" ht="14.4" customHeight="1" thickBot="1" x14ac:dyDescent="0.4">
      <c r="A13" s="10" t="s">
        <v>180</v>
      </c>
      <c r="B13" s="11">
        <v>75.900000000000006</v>
      </c>
      <c r="C13" s="14">
        <v>-6.58327847267902E-4</v>
      </c>
      <c r="D13" s="11" t="s">
        <v>177</v>
      </c>
      <c r="E13" s="13">
        <v>57.77</v>
      </c>
      <c r="F13" s="14">
        <v>-0.05</v>
      </c>
      <c r="G13" s="11" t="s">
        <v>174</v>
      </c>
      <c r="H13" s="13">
        <v>81.209999999999994</v>
      </c>
      <c r="I13" s="14">
        <v>0.01</v>
      </c>
    </row>
    <row r="14" spans="1:19" ht="15.5" x14ac:dyDescent="0.35">
      <c r="A14" s="10" t="s">
        <v>173</v>
      </c>
      <c r="B14" s="11">
        <v>55.69</v>
      </c>
      <c r="C14" s="14">
        <v>-3.9827586206896588E-2</v>
      </c>
      <c r="D14" s="11" t="s">
        <v>172</v>
      </c>
      <c r="E14" s="13">
        <v>44.25</v>
      </c>
      <c r="F14" s="14">
        <v>-7.0000000000000007E-2</v>
      </c>
      <c r="G14" s="11" t="s">
        <v>171</v>
      </c>
      <c r="H14" s="13">
        <v>76.069999999999993</v>
      </c>
      <c r="I14" s="14">
        <v>0</v>
      </c>
      <c r="K14" s="88" t="s">
        <v>117</v>
      </c>
      <c r="L14" s="89"/>
    </row>
    <row r="15" spans="1:19" x14ac:dyDescent="0.35">
      <c r="A15" s="10" t="s">
        <v>170</v>
      </c>
      <c r="B15" s="11">
        <v>34.92</v>
      </c>
      <c r="C15" s="14">
        <v>-7.0039946737682976E-2</v>
      </c>
      <c r="D15" s="11" t="s">
        <v>169</v>
      </c>
      <c r="E15" s="13">
        <v>39.24</v>
      </c>
      <c r="F15" s="14">
        <v>-0.09</v>
      </c>
      <c r="G15" s="11" t="s">
        <v>168</v>
      </c>
      <c r="H15" s="13">
        <v>71.05</v>
      </c>
      <c r="I15" s="14">
        <v>0.02</v>
      </c>
      <c r="K15" s="90" t="s">
        <v>118</v>
      </c>
      <c r="L15" s="91"/>
    </row>
    <row r="16" spans="1:19" x14ac:dyDescent="0.35">
      <c r="A16" s="10" t="s">
        <v>189</v>
      </c>
      <c r="B16" s="11">
        <v>79.73</v>
      </c>
      <c r="C16" s="14">
        <v>-6.2672348959635449E-4</v>
      </c>
      <c r="D16" s="11" t="s">
        <v>188</v>
      </c>
      <c r="E16" s="13">
        <v>72.900000000000006</v>
      </c>
      <c r="F16" s="14">
        <v>0.08</v>
      </c>
      <c r="G16" s="11" t="s">
        <v>187</v>
      </c>
      <c r="H16" s="13">
        <v>98.79</v>
      </c>
      <c r="I16" s="14">
        <v>0.06</v>
      </c>
      <c r="K16" s="98" t="s">
        <v>135</v>
      </c>
      <c r="L16" s="99"/>
    </row>
    <row r="17" spans="1:17" x14ac:dyDescent="0.35">
      <c r="A17" s="10" t="s">
        <v>153</v>
      </c>
      <c r="B17" s="11">
        <v>67.650000000000006</v>
      </c>
      <c r="C17" s="14">
        <v>2.5932666060054722E-2</v>
      </c>
      <c r="D17" s="11" t="s">
        <v>152</v>
      </c>
      <c r="E17" s="13">
        <v>90.65</v>
      </c>
      <c r="F17" s="14">
        <v>0.05</v>
      </c>
      <c r="G17" s="11" t="s">
        <v>151</v>
      </c>
      <c r="H17" s="13">
        <v>101.94</v>
      </c>
      <c r="I17" s="14">
        <v>0.05</v>
      </c>
      <c r="K17" s="90" t="s">
        <v>119</v>
      </c>
      <c r="L17" s="91"/>
    </row>
    <row r="18" spans="1:17" ht="14.4" customHeight="1" x14ac:dyDescent="0.35">
      <c r="A18" s="10" t="s">
        <v>128</v>
      </c>
      <c r="B18" s="11">
        <v>41.3</v>
      </c>
      <c r="C18" s="14">
        <v>-4.2873696407879518E-2</v>
      </c>
      <c r="D18" s="11" t="s">
        <v>127</v>
      </c>
      <c r="E18" s="13">
        <v>46.27</v>
      </c>
      <c r="F18" s="14">
        <v>-0.05</v>
      </c>
      <c r="G18" s="11" t="s">
        <v>126</v>
      </c>
      <c r="H18" s="13">
        <v>75.989999999999995</v>
      </c>
      <c r="I18" s="14">
        <v>0.01</v>
      </c>
      <c r="K18" s="92" t="s">
        <v>134</v>
      </c>
      <c r="L18" s="93"/>
    </row>
    <row r="19" spans="1:17" x14ac:dyDescent="0.35">
      <c r="A19" s="10" t="s">
        <v>156</v>
      </c>
      <c r="B19" s="11">
        <v>37.86</v>
      </c>
      <c r="C19" s="14">
        <v>3.4708936867996608E-2</v>
      </c>
      <c r="D19" s="11" t="s">
        <v>155</v>
      </c>
      <c r="E19" s="13">
        <v>40.5</v>
      </c>
      <c r="F19" s="14">
        <v>0.01</v>
      </c>
      <c r="G19" s="11" t="s">
        <v>154</v>
      </c>
      <c r="H19" s="13">
        <v>71.58</v>
      </c>
      <c r="I19" s="14">
        <v>0.05</v>
      </c>
      <c r="K19" s="94"/>
      <c r="L19" s="95"/>
    </row>
    <row r="20" spans="1:17" x14ac:dyDescent="0.35">
      <c r="A20" s="10" t="s">
        <v>131</v>
      </c>
      <c r="B20" s="11">
        <v>77.150000000000006</v>
      </c>
      <c r="C20" s="14">
        <v>-6.4766839378234658E-4</v>
      </c>
      <c r="D20" s="11" t="s">
        <v>130</v>
      </c>
      <c r="E20" s="13">
        <v>62.09</v>
      </c>
      <c r="F20" s="14">
        <v>0.02</v>
      </c>
      <c r="G20" s="11" t="s">
        <v>129</v>
      </c>
      <c r="H20" s="13">
        <v>89.61</v>
      </c>
      <c r="I20" s="14">
        <v>0.04</v>
      </c>
      <c r="K20" s="96"/>
      <c r="L20" s="97"/>
    </row>
    <row r="21" spans="1:17" x14ac:dyDescent="0.35">
      <c r="A21" s="10" t="s">
        <v>164</v>
      </c>
      <c r="B21" s="11">
        <v>67</v>
      </c>
      <c r="C21" s="14">
        <v>3.5548686244203972E-2</v>
      </c>
      <c r="D21" s="11" t="s">
        <v>162</v>
      </c>
      <c r="E21" s="13">
        <v>48.6</v>
      </c>
      <c r="F21" s="14">
        <v>0.03</v>
      </c>
      <c r="G21" s="11" t="s">
        <v>160</v>
      </c>
      <c r="H21" s="13">
        <v>80.2</v>
      </c>
      <c r="I21" s="14">
        <v>0.04</v>
      </c>
      <c r="K21" s="90" t="s">
        <v>120</v>
      </c>
      <c r="L21" s="91"/>
    </row>
    <row r="22" spans="1:17" ht="15" thickBot="1" x14ac:dyDescent="0.4">
      <c r="A22" s="10" t="s">
        <v>144</v>
      </c>
      <c r="B22" s="11">
        <v>82.1</v>
      </c>
      <c r="C22" s="14">
        <v>1.046153846153839E-2</v>
      </c>
      <c r="D22" s="11" t="s">
        <v>142</v>
      </c>
      <c r="E22" s="13">
        <v>86.41</v>
      </c>
      <c r="F22" s="14">
        <v>0.03</v>
      </c>
      <c r="G22" s="11" t="s">
        <v>140</v>
      </c>
      <c r="H22" s="13">
        <v>103.82</v>
      </c>
      <c r="I22" s="14">
        <v>0.05</v>
      </c>
      <c r="K22" s="100" t="s">
        <v>136</v>
      </c>
      <c r="L22" s="101"/>
    </row>
    <row r="23" spans="1:17" ht="15" thickBot="1" x14ac:dyDescent="0.4">
      <c r="A23" s="10" t="s">
        <v>181</v>
      </c>
      <c r="B23" s="11">
        <v>69.8</v>
      </c>
      <c r="C23" s="14">
        <v>7.6512198642991374E-3</v>
      </c>
      <c r="D23" s="11" t="s">
        <v>178</v>
      </c>
      <c r="E23" s="13">
        <v>78.17</v>
      </c>
      <c r="F23" s="14">
        <v>0.01</v>
      </c>
      <c r="G23" s="11" t="s">
        <v>175</v>
      </c>
      <c r="H23" s="13">
        <v>93.92</v>
      </c>
      <c r="I23" s="14">
        <v>0.04</v>
      </c>
    </row>
    <row r="24" spans="1:17" ht="15.5" x14ac:dyDescent="0.35">
      <c r="A24" s="10" t="s">
        <v>8</v>
      </c>
      <c r="B24" s="11">
        <v>60.6</v>
      </c>
      <c r="C24" s="14">
        <v>2.4513947590870722E-2</v>
      </c>
      <c r="D24" s="11" t="s">
        <v>4</v>
      </c>
      <c r="E24" s="13">
        <v>64.400000000000006</v>
      </c>
      <c r="F24" s="14">
        <v>0.02</v>
      </c>
      <c r="G24" s="11" t="s">
        <v>0</v>
      </c>
      <c r="H24" s="13">
        <v>86.87</v>
      </c>
      <c r="I24" s="14">
        <v>0.04</v>
      </c>
      <c r="K24" s="102" t="s">
        <v>83</v>
      </c>
      <c r="L24" s="103"/>
    </row>
    <row r="25" spans="1:17" ht="15.5" x14ac:dyDescent="0.35">
      <c r="A25" s="10" t="s">
        <v>9</v>
      </c>
      <c r="B25" s="11">
        <v>55.75</v>
      </c>
      <c r="C25" s="14">
        <v>-3.574620196604161E-3</v>
      </c>
      <c r="D25" s="11" t="s">
        <v>5</v>
      </c>
      <c r="E25" s="13">
        <v>60.22</v>
      </c>
      <c r="F25" s="14">
        <v>0.01</v>
      </c>
      <c r="G25" s="11" t="s">
        <v>1</v>
      </c>
      <c r="H25" s="13">
        <v>76.97</v>
      </c>
      <c r="I25" s="14">
        <v>0.03</v>
      </c>
      <c r="K25" s="61" t="s">
        <v>114</v>
      </c>
      <c r="L25" s="60" t="s">
        <v>113</v>
      </c>
    </row>
    <row r="26" spans="1:17" ht="15.5" x14ac:dyDescent="0.35">
      <c r="A26" s="10" t="s">
        <v>10</v>
      </c>
      <c r="B26" s="11">
        <v>55.5</v>
      </c>
      <c r="C26" s="14">
        <v>9.0171325518479989E-4</v>
      </c>
      <c r="D26" s="11" t="s">
        <v>6</v>
      </c>
      <c r="E26" s="13">
        <v>62.95</v>
      </c>
      <c r="F26" s="14">
        <v>0</v>
      </c>
      <c r="G26" s="11" t="s">
        <v>2</v>
      </c>
      <c r="H26" s="13">
        <v>70.290000000000006</v>
      </c>
      <c r="I26" s="14">
        <v>-0.01</v>
      </c>
      <c r="K26" s="81">
        <f>COUNTA(L27:L86)</f>
        <v>46</v>
      </c>
      <c r="L26" s="82"/>
    </row>
    <row r="27" spans="1:17" x14ac:dyDescent="0.35">
      <c r="A27" s="10" t="s">
        <v>11</v>
      </c>
      <c r="B27" s="11">
        <v>55.45</v>
      </c>
      <c r="C27" s="14">
        <v>0</v>
      </c>
      <c r="D27" s="11" t="s">
        <v>7</v>
      </c>
      <c r="E27" s="13">
        <v>65.62</v>
      </c>
      <c r="F27" s="14">
        <v>0</v>
      </c>
      <c r="G27" s="11" t="s">
        <v>3</v>
      </c>
      <c r="H27" s="13">
        <v>70.34</v>
      </c>
      <c r="I27" s="14">
        <v>0</v>
      </c>
      <c r="K27" s="56" t="s">
        <v>122</v>
      </c>
      <c r="L27" s="75" t="s">
        <v>104</v>
      </c>
      <c r="M27" s="1"/>
      <c r="N27" s="1"/>
      <c r="O27" s="1"/>
      <c r="P27" s="1"/>
      <c r="Q27" s="1"/>
    </row>
    <row r="28" spans="1:17" x14ac:dyDescent="0.35">
      <c r="A28" s="10" t="s">
        <v>12</v>
      </c>
      <c r="B28" s="11">
        <v>55.05</v>
      </c>
      <c r="C28" s="14">
        <v>0</v>
      </c>
      <c r="D28" s="11" t="s">
        <v>16</v>
      </c>
      <c r="E28" s="13">
        <v>65.88</v>
      </c>
      <c r="F28" s="14">
        <v>0</v>
      </c>
      <c r="G28" s="11" t="s">
        <v>15</v>
      </c>
      <c r="H28" s="13">
        <v>68.36</v>
      </c>
      <c r="I28" s="14">
        <v>0</v>
      </c>
      <c r="K28" s="56"/>
      <c r="L28" s="75" t="s">
        <v>84</v>
      </c>
      <c r="M28" s="1"/>
      <c r="N28" s="1"/>
      <c r="O28" s="1"/>
      <c r="P28" s="1"/>
      <c r="Q28" s="1"/>
    </row>
    <row r="29" spans="1:17" x14ac:dyDescent="0.35">
      <c r="A29" s="10" t="s">
        <v>13</v>
      </c>
      <c r="B29" s="11">
        <v>55.05</v>
      </c>
      <c r="C29" s="14">
        <v>0</v>
      </c>
      <c r="D29" s="11" t="s">
        <v>143</v>
      </c>
      <c r="E29" s="13">
        <v>65.38</v>
      </c>
      <c r="F29" s="14">
        <v>0</v>
      </c>
      <c r="G29" s="11" t="s">
        <v>141</v>
      </c>
      <c r="H29" s="13">
        <v>66.66</v>
      </c>
      <c r="I29" s="14">
        <v>0</v>
      </c>
      <c r="K29" s="56"/>
      <c r="L29" s="75" t="s">
        <v>85</v>
      </c>
      <c r="M29" s="1"/>
      <c r="N29" s="1"/>
      <c r="O29" s="1"/>
      <c r="P29" s="1"/>
      <c r="Q29" s="1"/>
    </row>
    <row r="30" spans="1:17" x14ac:dyDescent="0.35">
      <c r="A30" s="10" t="s">
        <v>14</v>
      </c>
      <c r="B30" s="11">
        <v>55.05</v>
      </c>
      <c r="C30" s="14">
        <v>0</v>
      </c>
      <c r="D30" s="11" t="s">
        <v>179</v>
      </c>
      <c r="E30" s="13">
        <v>65.38</v>
      </c>
      <c r="F30" s="14">
        <v>0</v>
      </c>
      <c r="G30" s="11" t="s">
        <v>176</v>
      </c>
      <c r="H30" s="13">
        <v>64.34</v>
      </c>
      <c r="I30" s="14">
        <v>0</v>
      </c>
      <c r="K30" s="56"/>
      <c r="L30" s="75" t="s">
        <v>86</v>
      </c>
      <c r="M30" s="1"/>
      <c r="N30" s="1"/>
      <c r="O30" s="1"/>
      <c r="P30" s="1"/>
      <c r="Q30" s="1"/>
    </row>
    <row r="31" spans="1:17" x14ac:dyDescent="0.35">
      <c r="A31" s="10" t="s">
        <v>17</v>
      </c>
      <c r="B31" s="11">
        <v>54.9</v>
      </c>
      <c r="C31" s="14">
        <v>0</v>
      </c>
      <c r="D31" s="15"/>
      <c r="E31" s="16"/>
      <c r="F31" s="17"/>
      <c r="G31" s="15"/>
      <c r="H31" s="16"/>
      <c r="I31" s="17"/>
      <c r="K31" s="56"/>
      <c r="L31" s="75" t="s">
        <v>87</v>
      </c>
      <c r="M31" s="1"/>
      <c r="N31" s="1"/>
      <c r="O31" s="1"/>
      <c r="P31" s="1"/>
      <c r="Q31" s="1"/>
    </row>
    <row r="32" spans="1:17" x14ac:dyDescent="0.35">
      <c r="A32" s="10" t="s">
        <v>145</v>
      </c>
      <c r="B32" s="11">
        <v>54.9</v>
      </c>
      <c r="C32" s="14">
        <v>0</v>
      </c>
      <c r="D32" s="15"/>
      <c r="E32" s="16"/>
      <c r="F32" s="17"/>
      <c r="G32" s="15"/>
      <c r="H32" s="16"/>
      <c r="I32" s="17"/>
      <c r="K32" s="56"/>
      <c r="L32" s="75" t="s">
        <v>88</v>
      </c>
      <c r="M32" s="1"/>
      <c r="N32" s="1"/>
      <c r="O32" s="1"/>
      <c r="P32" s="1"/>
      <c r="Q32" s="1"/>
    </row>
    <row r="33" spans="1:17" x14ac:dyDescent="0.35">
      <c r="A33" s="10" t="s">
        <v>182</v>
      </c>
      <c r="B33" s="11">
        <v>54.9</v>
      </c>
      <c r="C33" s="14">
        <v>0</v>
      </c>
      <c r="D33" s="15"/>
      <c r="E33" s="16"/>
      <c r="F33" s="17"/>
      <c r="G33" s="15"/>
      <c r="H33" s="16"/>
      <c r="I33" s="17"/>
      <c r="K33" s="56"/>
      <c r="L33" s="75" t="s">
        <v>150</v>
      </c>
      <c r="M33" s="1"/>
      <c r="N33" s="1"/>
      <c r="O33" s="1"/>
      <c r="P33" s="1"/>
      <c r="Q33" s="1"/>
    </row>
    <row r="34" spans="1:17" x14ac:dyDescent="0.35">
      <c r="A34" s="18" t="s">
        <v>24</v>
      </c>
      <c r="B34" s="11">
        <f>AVERAGE(B24:B28)</f>
        <v>56.470000000000006</v>
      </c>
      <c r="C34" s="14">
        <f>AVERAGE(C24:C28)</f>
        <v>4.3682081298902723E-3</v>
      </c>
      <c r="D34" s="18" t="s">
        <v>24</v>
      </c>
      <c r="E34" s="11">
        <f>AVERAGE(E24:E28)</f>
        <v>63.814</v>
      </c>
      <c r="F34" s="14">
        <f>AVERAGE(F24:F28)</f>
        <v>6.0000000000000001E-3</v>
      </c>
      <c r="G34" s="18" t="s">
        <v>24</v>
      </c>
      <c r="H34" s="11">
        <f>AVERAGE(H24:H28)</f>
        <v>74.566000000000003</v>
      </c>
      <c r="I34" s="14">
        <f>AVERAGE(I24:I28)</f>
        <v>1.2E-2</v>
      </c>
      <c r="K34" s="56"/>
      <c r="L34" s="75" t="s">
        <v>89</v>
      </c>
      <c r="M34" s="1"/>
      <c r="N34" s="1"/>
      <c r="O34" s="1"/>
      <c r="P34" s="1"/>
      <c r="Q34" s="1"/>
    </row>
    <row r="35" spans="1:17" x14ac:dyDescent="0.35">
      <c r="A35" s="18" t="s">
        <v>25</v>
      </c>
      <c r="B35" s="11">
        <f>AVERAGE(B24:B30)</f>
        <v>56.064285714285724</v>
      </c>
      <c r="C35" s="14">
        <f>AVERAGE(C24:C30)</f>
        <v>3.1201486642073372E-3</v>
      </c>
      <c r="D35" s="18" t="s">
        <v>25</v>
      </c>
      <c r="E35" s="11">
        <f>AVERAGE(E24:E30)</f>
        <v>64.261428571428567</v>
      </c>
      <c r="F35" s="14">
        <f>AVERAGE(F24:F30)</f>
        <v>4.2857142857142859E-3</v>
      </c>
      <c r="G35" s="18" t="s">
        <v>25</v>
      </c>
      <c r="H35" s="11">
        <f>AVERAGE(H24:H30)</f>
        <v>71.97571428571429</v>
      </c>
      <c r="I35" s="14">
        <f>AVERAGE(I24:I30)</f>
        <v>8.5714285714285719E-3</v>
      </c>
      <c r="K35" s="56"/>
      <c r="L35" s="75" t="s">
        <v>90</v>
      </c>
      <c r="M35" s="1"/>
      <c r="N35" s="1"/>
      <c r="O35" s="1"/>
      <c r="P35" s="1"/>
      <c r="Q35" s="1"/>
    </row>
    <row r="36" spans="1:17" x14ac:dyDescent="0.35">
      <c r="A36" s="18" t="s">
        <v>26</v>
      </c>
      <c r="B36" s="11">
        <f>AVERAGE(B24:B33)</f>
        <v>55.714999999999996</v>
      </c>
      <c r="C36" s="14">
        <f>AVERAGE(C24:C33)</f>
        <v>2.1841040649451362E-3</v>
      </c>
      <c r="D36" s="15"/>
      <c r="E36" s="15"/>
      <c r="F36" s="19"/>
      <c r="G36" s="15"/>
      <c r="H36" s="15"/>
      <c r="I36" s="19"/>
      <c r="K36" s="56"/>
      <c r="L36" s="75" t="s">
        <v>91</v>
      </c>
      <c r="M36" s="1"/>
      <c r="N36" s="1"/>
      <c r="O36" s="1"/>
      <c r="P36" s="1"/>
      <c r="Q36" s="1"/>
    </row>
    <row r="37" spans="1:17" x14ac:dyDescent="0.35">
      <c r="K37" s="56"/>
      <c r="L37" s="75" t="s">
        <v>92</v>
      </c>
      <c r="M37" s="1"/>
      <c r="N37" s="1"/>
      <c r="O37" s="1"/>
      <c r="P37" s="1"/>
      <c r="Q37" s="1"/>
    </row>
    <row r="38" spans="1:17" x14ac:dyDescent="0.35">
      <c r="A38" s="80" t="s">
        <v>27</v>
      </c>
      <c r="B38" s="80"/>
      <c r="C38" s="80"/>
      <c r="D38" s="80"/>
      <c r="E38" s="80"/>
      <c r="F38" s="80"/>
      <c r="G38" s="80"/>
      <c r="H38" s="80"/>
      <c r="I38" s="80"/>
      <c r="K38" s="56"/>
      <c r="L38" s="75" t="s">
        <v>93</v>
      </c>
      <c r="M38" s="1"/>
      <c r="N38" s="1"/>
      <c r="O38" s="1"/>
      <c r="P38" s="1"/>
      <c r="Q38" s="1"/>
    </row>
    <row r="39" spans="1:17" x14ac:dyDescent="0.35">
      <c r="A39" s="7" t="s">
        <v>137</v>
      </c>
      <c r="B39" s="8" t="s">
        <v>20</v>
      </c>
      <c r="C39" s="9" t="s">
        <v>21</v>
      </c>
      <c r="D39" s="70"/>
      <c r="E39" s="70"/>
      <c r="F39" s="70"/>
      <c r="G39" s="70"/>
      <c r="H39" s="70"/>
      <c r="I39" s="70"/>
      <c r="K39" s="56"/>
      <c r="L39" s="75" t="s">
        <v>94</v>
      </c>
      <c r="M39" s="1"/>
      <c r="N39" s="1"/>
      <c r="O39" s="1"/>
      <c r="P39" s="1"/>
      <c r="Q39" s="1"/>
    </row>
    <row r="40" spans="1:17" x14ac:dyDescent="0.35">
      <c r="A40" s="10" t="s">
        <v>192</v>
      </c>
      <c r="B40" s="11">
        <v>42.1</v>
      </c>
      <c r="C40" s="14">
        <v>2.8083028083028049E-2</v>
      </c>
      <c r="D40" s="70"/>
      <c r="E40" s="70"/>
      <c r="F40" s="70"/>
      <c r="G40" s="70"/>
      <c r="H40" s="70"/>
      <c r="I40" s="70"/>
      <c r="K40" s="56"/>
      <c r="L40" s="75" t="s">
        <v>95</v>
      </c>
      <c r="M40" s="1"/>
      <c r="N40" s="1"/>
      <c r="O40" s="1"/>
      <c r="P40" s="1"/>
      <c r="Q40" s="1"/>
    </row>
    <row r="41" spans="1:17" x14ac:dyDescent="0.35">
      <c r="A41" s="10" t="s">
        <v>193</v>
      </c>
      <c r="B41" s="11">
        <v>41.54</v>
      </c>
      <c r="C41" s="14">
        <v>2.0137524557956789E-2</v>
      </c>
      <c r="D41" s="70"/>
      <c r="E41" s="70"/>
      <c r="F41" s="70"/>
      <c r="G41" s="70"/>
      <c r="H41" s="70"/>
      <c r="I41" s="70"/>
      <c r="K41" s="56"/>
      <c r="L41" s="75" t="s">
        <v>96</v>
      </c>
      <c r="M41" s="1"/>
      <c r="N41" s="1"/>
      <c r="O41" s="1"/>
      <c r="P41" s="1"/>
      <c r="Q41" s="1"/>
    </row>
    <row r="42" spans="1:17" x14ac:dyDescent="0.35">
      <c r="A42" s="10" t="s">
        <v>194</v>
      </c>
      <c r="B42" s="11">
        <v>41.23</v>
      </c>
      <c r="C42" s="14">
        <v>-1.5990453460620571E-2</v>
      </c>
      <c r="D42" s="70"/>
      <c r="E42" s="70"/>
      <c r="F42" s="70"/>
      <c r="G42" s="70"/>
      <c r="H42" s="70"/>
      <c r="I42" s="70"/>
      <c r="K42" s="56"/>
      <c r="L42" s="75" t="s">
        <v>97</v>
      </c>
      <c r="M42" s="1"/>
      <c r="N42" s="1"/>
      <c r="O42" s="1"/>
      <c r="P42" s="1"/>
      <c r="Q42" s="1"/>
    </row>
    <row r="43" spans="1:17" x14ac:dyDescent="0.35">
      <c r="A43" s="10" t="s">
        <v>195</v>
      </c>
      <c r="B43" s="11">
        <v>40.119999999999997</v>
      </c>
      <c r="C43" s="14">
        <v>5.4125065685759199E-2</v>
      </c>
      <c r="D43" s="70"/>
      <c r="E43" s="70"/>
      <c r="F43" s="70"/>
      <c r="G43" s="70"/>
      <c r="H43" s="70"/>
      <c r="I43" s="70"/>
      <c r="K43" s="56"/>
      <c r="L43" s="75" t="s">
        <v>98</v>
      </c>
      <c r="M43" s="1"/>
      <c r="N43" s="1"/>
      <c r="O43" s="1"/>
      <c r="P43" s="1"/>
      <c r="Q43" s="1"/>
    </row>
    <row r="44" spans="1:17" x14ac:dyDescent="0.35">
      <c r="A44" s="10" t="s">
        <v>196</v>
      </c>
      <c r="B44" s="11">
        <v>42.8</v>
      </c>
      <c r="C44" s="14">
        <v>3.5066505441354187E-2</v>
      </c>
      <c r="D44" s="70"/>
      <c r="E44" s="70"/>
      <c r="F44" s="70"/>
      <c r="G44" s="70"/>
      <c r="H44" s="70"/>
      <c r="I44" s="70"/>
      <c r="K44" s="56"/>
      <c r="L44" s="75" t="s">
        <v>99</v>
      </c>
      <c r="M44" s="1"/>
      <c r="N44" s="1"/>
      <c r="O44" s="1"/>
      <c r="P44" s="1"/>
      <c r="Q44" s="1"/>
    </row>
    <row r="45" spans="1:17" x14ac:dyDescent="0.35">
      <c r="A45" s="10" t="s">
        <v>197</v>
      </c>
      <c r="B45" s="11">
        <v>42.12</v>
      </c>
      <c r="C45" s="71">
        <v>1.862152357920184E-2</v>
      </c>
      <c r="D45" s="70"/>
      <c r="E45" s="70"/>
      <c r="F45" s="70"/>
      <c r="G45" s="70"/>
      <c r="H45" s="70"/>
      <c r="I45" s="70"/>
      <c r="K45" s="56"/>
      <c r="L45" s="75" t="s">
        <v>100</v>
      </c>
      <c r="M45" s="1"/>
      <c r="N45" s="1"/>
      <c r="O45" s="1"/>
      <c r="P45" s="1"/>
      <c r="Q45" s="1"/>
    </row>
    <row r="46" spans="1:17" x14ac:dyDescent="0.35">
      <c r="A46" s="10" t="s">
        <v>198</v>
      </c>
      <c r="B46" s="11">
        <v>41.47</v>
      </c>
      <c r="C46" s="14">
        <v>3.9869608826479337E-2</v>
      </c>
      <c r="D46" s="70"/>
      <c r="E46" s="70"/>
      <c r="F46" s="70"/>
      <c r="G46" s="70"/>
      <c r="H46" s="70"/>
      <c r="I46" s="70"/>
      <c r="K46" s="56"/>
      <c r="L46" s="75" t="s">
        <v>101</v>
      </c>
      <c r="M46" s="1"/>
      <c r="N46" s="1"/>
      <c r="O46" s="1"/>
      <c r="P46" s="1"/>
      <c r="Q46" s="1"/>
    </row>
    <row r="47" spans="1:17" x14ac:dyDescent="0.35">
      <c r="A47" s="10" t="s">
        <v>199</v>
      </c>
      <c r="B47" s="11">
        <v>42.4</v>
      </c>
      <c r="C47" s="14">
        <v>2.5392986698911661E-2</v>
      </c>
      <c r="D47" s="70"/>
      <c r="E47" s="70"/>
      <c r="F47" s="70"/>
      <c r="G47" s="70"/>
      <c r="H47" s="70"/>
      <c r="I47" s="70"/>
      <c r="K47" s="56"/>
      <c r="L47" s="75" t="s">
        <v>102</v>
      </c>
      <c r="M47" s="1"/>
      <c r="N47" s="1"/>
      <c r="O47" s="1"/>
      <c r="P47" s="1"/>
      <c r="Q47" s="1"/>
    </row>
    <row r="48" spans="1:17" x14ac:dyDescent="0.35">
      <c r="A48" s="10" t="s">
        <v>200</v>
      </c>
      <c r="B48" s="11">
        <v>33.22</v>
      </c>
      <c r="C48" s="14">
        <v>4.2359585817383048E-2</v>
      </c>
      <c r="D48" s="70"/>
      <c r="E48" s="70"/>
      <c r="F48" s="70"/>
      <c r="G48" s="70"/>
      <c r="H48" s="70"/>
      <c r="I48" s="70"/>
      <c r="K48" s="56"/>
      <c r="L48" s="75" t="s">
        <v>103</v>
      </c>
      <c r="M48" s="1"/>
      <c r="N48" s="1"/>
      <c r="O48" s="1"/>
      <c r="P48" s="1"/>
      <c r="Q48" s="1"/>
    </row>
    <row r="49" spans="1:17" x14ac:dyDescent="0.35">
      <c r="A49" s="10" t="s">
        <v>201</v>
      </c>
      <c r="B49" s="11">
        <v>40.799999999999997</v>
      </c>
      <c r="C49" s="14">
        <v>4.6690610569522853E-2</v>
      </c>
      <c r="D49" s="70"/>
      <c r="E49" s="70"/>
      <c r="F49" s="70"/>
      <c r="G49" s="70"/>
      <c r="H49" s="70"/>
      <c r="I49" s="70"/>
      <c r="K49" s="56"/>
      <c r="L49" s="75" t="s">
        <v>105</v>
      </c>
      <c r="M49" s="1"/>
      <c r="N49" s="1"/>
      <c r="O49" s="1"/>
      <c r="P49" s="1"/>
      <c r="Q49" s="1"/>
    </row>
    <row r="50" spans="1:17" x14ac:dyDescent="0.35">
      <c r="A50" s="10" t="s">
        <v>202</v>
      </c>
      <c r="B50" s="11">
        <v>34.979999999999997</v>
      </c>
      <c r="C50" s="14">
        <v>4.417910447761185E-2</v>
      </c>
      <c r="D50" s="70"/>
      <c r="E50" s="70"/>
      <c r="F50" s="70"/>
      <c r="G50" s="70"/>
      <c r="H50" s="70"/>
      <c r="I50" s="70"/>
      <c r="K50" s="56"/>
      <c r="L50" s="75" t="s">
        <v>106</v>
      </c>
      <c r="M50" s="1"/>
      <c r="N50" s="1"/>
      <c r="O50" s="1"/>
      <c r="P50" s="1"/>
      <c r="Q50" s="1"/>
    </row>
    <row r="51" spans="1:17" x14ac:dyDescent="0.35">
      <c r="A51" s="10" t="s">
        <v>203</v>
      </c>
      <c r="B51" s="11">
        <v>28.6</v>
      </c>
      <c r="C51" s="14">
        <v>2.1793497677742159E-2</v>
      </c>
      <c r="D51" s="70"/>
      <c r="E51" s="70"/>
      <c r="F51" s="70"/>
      <c r="G51" s="70"/>
      <c r="H51" s="70"/>
      <c r="I51" s="70"/>
      <c r="K51" s="56"/>
      <c r="L51" s="75" t="s">
        <v>107</v>
      </c>
      <c r="M51" s="1"/>
      <c r="N51" s="1"/>
      <c r="O51" s="1"/>
      <c r="P51" s="1"/>
      <c r="Q51" s="1"/>
    </row>
    <row r="52" spans="1:17" x14ac:dyDescent="0.35">
      <c r="A52" s="15"/>
      <c r="B52" s="16"/>
      <c r="C52" s="17"/>
      <c r="D52" s="70"/>
      <c r="E52" s="70"/>
      <c r="F52" s="70"/>
      <c r="G52" s="70"/>
      <c r="H52" s="70"/>
      <c r="I52" s="70"/>
      <c r="K52" s="56"/>
      <c r="L52" s="75" t="s">
        <v>108</v>
      </c>
      <c r="M52" s="1"/>
      <c r="N52" s="1"/>
      <c r="O52" s="1"/>
      <c r="P52" s="1"/>
      <c r="Q52" s="1"/>
    </row>
    <row r="53" spans="1:17" x14ac:dyDescent="0.35">
      <c r="A53" s="15"/>
      <c r="B53" s="16"/>
      <c r="C53" s="17"/>
      <c r="D53" s="70"/>
      <c r="E53" s="70"/>
      <c r="F53" s="70"/>
      <c r="G53" s="70"/>
      <c r="H53" s="70"/>
      <c r="I53" s="70"/>
      <c r="K53" s="56"/>
      <c r="L53" s="75" t="s">
        <v>109</v>
      </c>
      <c r="M53" s="1"/>
      <c r="N53" s="1"/>
      <c r="O53" s="1"/>
      <c r="P53" s="1"/>
      <c r="Q53" s="1"/>
    </row>
    <row r="54" spans="1:17" x14ac:dyDescent="0.35">
      <c r="A54" s="15"/>
      <c r="B54" s="16"/>
      <c r="C54" s="17"/>
      <c r="D54" s="70"/>
      <c r="E54" s="70"/>
      <c r="F54" s="70"/>
      <c r="G54" s="70"/>
      <c r="H54" s="70"/>
      <c r="I54" s="70"/>
      <c r="K54" s="56"/>
      <c r="L54" s="75" t="s">
        <v>110</v>
      </c>
      <c r="M54" s="1"/>
      <c r="N54" s="1"/>
      <c r="O54" s="1"/>
      <c r="P54" s="1"/>
      <c r="Q54" s="1"/>
    </row>
    <row r="55" spans="1:17" x14ac:dyDescent="0.35">
      <c r="A55" s="20" t="s">
        <v>28</v>
      </c>
      <c r="B55" s="21">
        <f>Hoja1!B5</f>
        <v>0.6119</v>
      </c>
      <c r="C55" s="12">
        <f>(Hoja1!B5-Hoja1!C5)/Hoja1!C5</f>
        <v>-1.0030739362562666E-2</v>
      </c>
      <c r="D55" s="20" t="s">
        <v>28</v>
      </c>
      <c r="E55" s="21">
        <f>Hoja1!B6</f>
        <v>0.21740000000000001</v>
      </c>
      <c r="F55" s="12">
        <f>(Hoja1!B6-Hoja1!C6)/Hoja1!C6</f>
        <v>-1.8365472910926708E-3</v>
      </c>
      <c r="G55" s="20" t="s">
        <v>28</v>
      </c>
      <c r="H55" s="21">
        <f>Hoja1!B7</f>
        <v>0.2878</v>
      </c>
      <c r="I55" s="12">
        <f>(Hoja1!B7-Hoja1!C7)/Hoja1!C7</f>
        <v>-4.1625041625041659E-2</v>
      </c>
      <c r="K55" s="56"/>
      <c r="L55" s="75" t="s">
        <v>111</v>
      </c>
      <c r="M55" s="1"/>
      <c r="N55" s="1"/>
      <c r="O55" s="1"/>
      <c r="P55" s="1"/>
      <c r="Q55" s="1"/>
    </row>
    <row r="56" spans="1:17" x14ac:dyDescent="0.35">
      <c r="A56" s="20" t="s">
        <v>29</v>
      </c>
      <c r="B56" s="21">
        <f>Hoja1!D5/Hoja1!D10</f>
        <v>0.40167126069926007</v>
      </c>
      <c r="C56" s="12">
        <f>(Hoja1!D5/Hoja1!D10-Hoja1!E5/Hoja1!E10)/(Hoja1!E5/Hoja1!E10)</f>
        <v>0.27036972461068309</v>
      </c>
      <c r="D56" s="20" t="s">
        <v>29</v>
      </c>
      <c r="E56" s="21">
        <f>Hoja1!D6/Hoja1!D11</f>
        <v>0.5120379721268431</v>
      </c>
      <c r="F56" s="12">
        <f>(Hoja1!D6/Hoja1!D11-Hoja1!E6/Hoja1!E11)/(Hoja1!E6/Hoja1!E11)</f>
        <v>-0.1713463864282678</v>
      </c>
      <c r="G56" s="20" t="s">
        <v>29</v>
      </c>
      <c r="H56" s="21">
        <f>Hoja1!D7/Hoja1!D12</f>
        <v>0.32030135797110437</v>
      </c>
      <c r="I56" s="12">
        <f>(Hoja1!D7/Hoja1!D12-Hoja1!E7/Hoja1!E12)/(Hoja1!E7/Hoja1!E12)</f>
        <v>-0.38278169434818965</v>
      </c>
      <c r="K56" s="56"/>
      <c r="L56" s="75" t="s">
        <v>112</v>
      </c>
      <c r="M56" s="1"/>
      <c r="N56" s="1"/>
      <c r="O56" s="1"/>
      <c r="P56" s="1"/>
      <c r="Q56" s="1"/>
    </row>
    <row r="57" spans="1:17" x14ac:dyDescent="0.35">
      <c r="A57" s="22"/>
      <c r="B57" s="11"/>
      <c r="C57" s="14"/>
      <c r="D57" s="22"/>
      <c r="E57" s="11"/>
      <c r="F57" s="48"/>
      <c r="G57" s="22"/>
      <c r="H57" s="11"/>
      <c r="I57" s="12"/>
      <c r="K57" s="56"/>
      <c r="L57" s="75" t="s">
        <v>124</v>
      </c>
      <c r="M57" s="1"/>
      <c r="N57" s="1"/>
      <c r="O57" s="1"/>
      <c r="P57" s="1"/>
      <c r="Q57" s="1"/>
    </row>
    <row r="58" spans="1:17" x14ac:dyDescent="0.35">
      <c r="D58" s="23"/>
      <c r="E58" s="23"/>
      <c r="F58" s="24"/>
      <c r="G58" s="23"/>
      <c r="H58" s="23"/>
      <c r="I58" s="24"/>
      <c r="K58" s="56"/>
      <c r="L58" s="75" t="s">
        <v>125</v>
      </c>
      <c r="M58" s="1"/>
      <c r="N58" s="1"/>
      <c r="O58" s="1"/>
      <c r="P58" s="1"/>
      <c r="Q58" s="1"/>
    </row>
    <row r="59" spans="1:17" x14ac:dyDescent="0.35">
      <c r="A59" s="80" t="s">
        <v>123</v>
      </c>
      <c r="B59" s="80"/>
      <c r="C59" s="80"/>
      <c r="D59" s="80"/>
      <c r="E59" s="80"/>
      <c r="F59" s="80"/>
      <c r="G59" s="80"/>
      <c r="H59" s="80"/>
      <c r="I59" s="80"/>
      <c r="K59" s="56"/>
      <c r="L59" s="75" t="s">
        <v>138</v>
      </c>
      <c r="M59" s="1"/>
      <c r="N59" s="1"/>
      <c r="O59" s="1"/>
      <c r="P59" s="1"/>
      <c r="Q59" s="1"/>
    </row>
    <row r="60" spans="1:17" x14ac:dyDescent="0.35">
      <c r="A60" s="25" t="s">
        <v>132</v>
      </c>
      <c r="B60" s="8" t="s">
        <v>20</v>
      </c>
      <c r="C60" s="9"/>
      <c r="D60" s="9"/>
      <c r="E60" s="9"/>
      <c r="F60" s="9"/>
      <c r="G60" s="26" t="s">
        <v>30</v>
      </c>
      <c r="H60" s="8" t="s">
        <v>20</v>
      </c>
      <c r="I60" s="9"/>
      <c r="K60" s="56"/>
      <c r="L60" s="75" t="s">
        <v>139</v>
      </c>
      <c r="M60" s="1"/>
      <c r="N60" s="1" t="s">
        <v>190</v>
      </c>
      <c r="O60" s="1">
        <v>1.081</v>
      </c>
      <c r="P60" s="1"/>
      <c r="Q60" s="1"/>
    </row>
    <row r="61" spans="1:17" x14ac:dyDescent="0.35">
      <c r="A61" s="10" t="str">
        <f ca="1">GNL!P12</f>
        <v>M Apr-25</v>
      </c>
      <c r="B61" s="11">
        <f>GNL!Q12/0.293071/O60</f>
        <v>40.308102764172808</v>
      </c>
      <c r="C61" s="14"/>
      <c r="D61" s="14"/>
      <c r="E61" s="14"/>
      <c r="F61" s="14"/>
      <c r="G61" s="10" t="str">
        <f ca="1">GNL!X12</f>
        <v>M Apr-25</v>
      </c>
      <c r="H61" s="11">
        <f>3.98/0.293071/O60</f>
        <v>12.56274463597555</v>
      </c>
      <c r="I61" s="14"/>
      <c r="K61" s="56"/>
      <c r="L61" s="75" t="s">
        <v>146</v>
      </c>
      <c r="M61" s="1"/>
      <c r="N61" s="1"/>
      <c r="O61" s="1"/>
      <c r="P61" s="1"/>
      <c r="Q61" s="1"/>
    </row>
    <row r="62" spans="1:17" x14ac:dyDescent="0.35">
      <c r="K62" s="56"/>
      <c r="L62" s="75" t="s">
        <v>147</v>
      </c>
      <c r="M62" s="1"/>
      <c r="N62" s="1"/>
      <c r="O62" s="1"/>
      <c r="P62" s="1"/>
      <c r="Q62" s="1"/>
    </row>
    <row r="63" spans="1:17" x14ac:dyDescent="0.35">
      <c r="A63" s="80" t="s">
        <v>31</v>
      </c>
      <c r="B63" s="80"/>
      <c r="C63" s="80"/>
      <c r="D63" s="80"/>
      <c r="E63" s="80"/>
      <c r="F63" s="80"/>
      <c r="G63" s="80"/>
      <c r="H63" s="80"/>
      <c r="I63" s="80"/>
      <c r="K63" s="56"/>
      <c r="L63" s="75" t="s">
        <v>148</v>
      </c>
      <c r="M63" s="1"/>
      <c r="N63" s="1"/>
      <c r="O63" s="1"/>
      <c r="P63" s="1"/>
      <c r="Q63" s="1"/>
    </row>
    <row r="64" spans="1:17" ht="15" x14ac:dyDescent="0.35">
      <c r="A64" s="25" t="s">
        <v>32</v>
      </c>
      <c r="B64" s="8" t="s">
        <v>20</v>
      </c>
      <c r="C64" s="9"/>
      <c r="D64" s="27"/>
      <c r="E64" s="8"/>
      <c r="F64" s="9"/>
      <c r="G64" s="7" t="s">
        <v>33</v>
      </c>
      <c r="H64" s="8" t="s">
        <v>20</v>
      </c>
      <c r="I64" s="9"/>
      <c r="K64" s="56"/>
      <c r="L64" s="75" t="s">
        <v>149</v>
      </c>
      <c r="M64" s="1"/>
      <c r="N64" s="1"/>
      <c r="O64" s="1"/>
      <c r="P64" s="1"/>
      <c r="Q64" s="1"/>
    </row>
    <row r="65" spans="1:17" x14ac:dyDescent="0.35">
      <c r="A65" s="10" t="str">
        <f ca="1">A61</f>
        <v>M Apr-25</v>
      </c>
      <c r="B65" s="11">
        <v>71.59</v>
      </c>
      <c r="C65" s="14"/>
      <c r="D65" s="10"/>
      <c r="E65" s="11"/>
      <c r="F65" s="14"/>
      <c r="G65" s="10" t="str">
        <f ca="1">G61</f>
        <v>M Apr-25</v>
      </c>
      <c r="H65" s="11">
        <v>70.010000000000005</v>
      </c>
      <c r="I65" s="14"/>
      <c r="K65" s="56"/>
      <c r="L65" s="75" t="s">
        <v>183</v>
      </c>
      <c r="M65" s="1"/>
      <c r="N65" s="1"/>
      <c r="O65" s="1"/>
      <c r="P65" s="1"/>
      <c r="Q65" s="1"/>
    </row>
    <row r="66" spans="1:17" x14ac:dyDescent="0.35">
      <c r="A66" s="62"/>
      <c r="B66" s="63"/>
      <c r="C66" s="64"/>
      <c r="D66" s="65"/>
      <c r="E66" s="63"/>
      <c r="F66" s="64"/>
      <c r="G66" s="65"/>
      <c r="H66" s="63"/>
      <c r="I66" s="64"/>
      <c r="K66" s="56"/>
      <c r="L66" s="75" t="s">
        <v>157</v>
      </c>
      <c r="M66" s="1"/>
      <c r="N66" s="1"/>
      <c r="O66" s="1"/>
      <c r="P66" s="1"/>
      <c r="Q66" s="1"/>
    </row>
    <row r="67" spans="1:17" ht="23.5" customHeight="1" x14ac:dyDescent="0.35">
      <c r="A67" s="66" t="s">
        <v>34</v>
      </c>
      <c r="B67" s="66"/>
      <c r="C67" s="67"/>
      <c r="D67" s="66"/>
      <c r="E67" s="66"/>
      <c r="F67" s="67"/>
      <c r="G67" s="66"/>
      <c r="H67" s="66"/>
      <c r="I67" s="67"/>
      <c r="K67" s="56"/>
      <c r="L67" s="76" t="s">
        <v>158</v>
      </c>
      <c r="M67" s="1"/>
      <c r="N67" s="1"/>
      <c r="O67" s="1"/>
      <c r="P67" s="1"/>
      <c r="Q67" s="1"/>
    </row>
    <row r="68" spans="1:17" x14ac:dyDescent="0.35">
      <c r="A68" s="78" t="s">
        <v>35</v>
      </c>
      <c r="B68" s="78"/>
      <c r="C68" s="78"/>
      <c r="D68" s="78"/>
      <c r="E68" s="78"/>
      <c r="F68" s="78"/>
      <c r="G68" s="78"/>
      <c r="H68" s="78"/>
      <c r="I68" s="78"/>
      <c r="K68" s="56"/>
      <c r="L68" s="76" t="s">
        <v>165</v>
      </c>
      <c r="M68" s="1"/>
      <c r="N68" s="1"/>
      <c r="O68" s="1"/>
      <c r="P68" s="1"/>
      <c r="Q68" s="1"/>
    </row>
    <row r="69" spans="1:17" ht="23" customHeight="1" x14ac:dyDescent="0.35">
      <c r="A69" s="78"/>
      <c r="B69" s="78"/>
      <c r="C69" s="78"/>
      <c r="D69" s="78"/>
      <c r="E69" s="78"/>
      <c r="F69" s="78"/>
      <c r="G69" s="78"/>
      <c r="H69" s="78"/>
      <c r="I69" s="78"/>
      <c r="K69" s="56"/>
      <c r="L69" s="76" t="s">
        <v>166</v>
      </c>
      <c r="M69" s="1"/>
      <c r="N69" s="1"/>
      <c r="O69" s="1"/>
      <c r="P69" s="1"/>
      <c r="Q69" s="1"/>
    </row>
    <row r="70" spans="1:17" ht="23" customHeight="1" x14ac:dyDescent="0.35">
      <c r="A70" s="68" t="s">
        <v>133</v>
      </c>
      <c r="B70" s="69"/>
      <c r="C70" s="69"/>
      <c r="D70" s="69"/>
      <c r="E70" s="69"/>
      <c r="F70" s="69"/>
      <c r="G70" s="69"/>
      <c r="H70" s="69"/>
      <c r="I70" s="69"/>
      <c r="K70" s="56"/>
      <c r="L70" s="76" t="s">
        <v>167</v>
      </c>
    </row>
    <row r="71" spans="1:17" ht="15" x14ac:dyDescent="0.35">
      <c r="A71" s="78"/>
      <c r="B71" s="78"/>
      <c r="C71" s="78"/>
      <c r="D71" s="78"/>
      <c r="E71" s="78"/>
      <c r="F71" s="78"/>
      <c r="G71" s="78"/>
      <c r="H71" s="78"/>
      <c r="I71" s="78"/>
      <c r="K71" s="56"/>
      <c r="L71" s="76" t="s">
        <v>191</v>
      </c>
    </row>
    <row r="72" spans="1:17" x14ac:dyDescent="0.35">
      <c r="K72" s="56"/>
      <c r="L72" s="76" t="s">
        <v>96</v>
      </c>
    </row>
    <row r="73" spans="1:17" x14ac:dyDescent="0.35">
      <c r="K73" s="56"/>
      <c r="L73" s="57"/>
    </row>
    <row r="74" spans="1:17" x14ac:dyDescent="0.35">
      <c r="K74" s="56"/>
      <c r="L74" s="57"/>
    </row>
    <row r="75" spans="1:17" x14ac:dyDescent="0.35">
      <c r="K75" s="56"/>
      <c r="L75" s="57"/>
    </row>
    <row r="76" spans="1:17" x14ac:dyDescent="0.35">
      <c r="K76" s="56"/>
      <c r="L76" s="57"/>
    </row>
    <row r="77" spans="1:17" x14ac:dyDescent="0.35">
      <c r="K77" s="56"/>
      <c r="L77" s="57"/>
    </row>
    <row r="78" spans="1:17" x14ac:dyDescent="0.35">
      <c r="K78" s="56"/>
      <c r="L78" s="57"/>
      <c r="Q78" s="72"/>
    </row>
    <row r="79" spans="1:17" x14ac:dyDescent="0.35">
      <c r="K79" s="56"/>
      <c r="L79" s="57"/>
    </row>
    <row r="80" spans="1:17" x14ac:dyDescent="0.35">
      <c r="K80" s="56"/>
      <c r="L80" s="57"/>
    </row>
    <row r="81" spans="11:12" x14ac:dyDescent="0.35">
      <c r="K81" s="56"/>
      <c r="L81" s="57"/>
    </row>
    <row r="82" spans="11:12" x14ac:dyDescent="0.35">
      <c r="K82" s="56"/>
      <c r="L82" s="57"/>
    </row>
    <row r="83" spans="11:12" x14ac:dyDescent="0.35">
      <c r="K83" s="56"/>
      <c r="L83" s="57"/>
    </row>
    <row r="84" spans="11:12" x14ac:dyDescent="0.35">
      <c r="K84" s="56"/>
      <c r="L84" s="57"/>
    </row>
    <row r="85" spans="11:12" x14ac:dyDescent="0.35">
      <c r="K85" s="56"/>
      <c r="L85" s="57"/>
    </row>
    <row r="86" spans="11:12" ht="15" thickBot="1" x14ac:dyDescent="0.4">
      <c r="K86" s="58"/>
      <c r="L86" s="59"/>
    </row>
  </sheetData>
  <mergeCells count="21">
    <mergeCell ref="K26:L26"/>
    <mergeCell ref="N3:S4"/>
    <mergeCell ref="K11:L11"/>
    <mergeCell ref="K12:L12"/>
    <mergeCell ref="K14:L14"/>
    <mergeCell ref="K15:L15"/>
    <mergeCell ref="K17:L17"/>
    <mergeCell ref="K21:L21"/>
    <mergeCell ref="K18:L20"/>
    <mergeCell ref="K16:L16"/>
    <mergeCell ref="K22:L22"/>
    <mergeCell ref="K24:L24"/>
    <mergeCell ref="K9:L9"/>
    <mergeCell ref="K8:L8"/>
    <mergeCell ref="A68:I69"/>
    <mergeCell ref="A71:I71"/>
    <mergeCell ref="B8:D8"/>
    <mergeCell ref="A9:I9"/>
    <mergeCell ref="A38:I38"/>
    <mergeCell ref="A59:I59"/>
    <mergeCell ref="A63:I63"/>
  </mergeCells>
  <conditionalFormatting sqref="F65">
    <cfRule type="cellIs" dxfId="9" priority="58" operator="greaterThan">
      <formula>0</formula>
    </cfRule>
  </conditionalFormatting>
  <conditionalFormatting sqref="F65">
    <cfRule type="cellIs" dxfId="8" priority="57" operator="lessThan">
      <formula>0</formula>
    </cfRule>
  </conditionalFormatting>
  <conditionalFormatting sqref="C52:C54">
    <cfRule type="cellIs" dxfId="7" priority="52" operator="lessThan">
      <formula>0</formula>
    </cfRule>
  </conditionalFormatting>
  <conditionalFormatting sqref="F31:F33">
    <cfRule type="cellIs" dxfId="6" priority="50" operator="lessThan">
      <formula>0</formula>
    </cfRule>
  </conditionalFormatting>
  <conditionalFormatting sqref="D61:F61">
    <cfRule type="cellIs" dxfId="5" priority="45" operator="greaterThan">
      <formula>0</formula>
    </cfRule>
  </conditionalFormatting>
  <conditionalFormatting sqref="D61:F61">
    <cfRule type="cellIs" dxfId="4" priority="44" operator="lessThan">
      <formula>0</formula>
    </cfRule>
  </conditionalFormatting>
  <conditionalFormatting sqref="F11:F30 I11:I30 C61 C65 I61 I65 C40:C51 C11:C36 F34:F35 I34:I35">
    <cfRule type="cellIs" dxfId="3" priority="11" operator="greaterThan">
      <formula>0</formula>
    </cfRule>
    <cfRule type="cellIs" dxfId="2" priority="12" operator="lessThanOrEqual">
      <formula>0</formula>
    </cfRule>
  </conditionalFormatting>
  <conditionalFormatting sqref="D40:I54">
    <cfRule type="cellIs" dxfId="1" priority="10" operator="lessThan">
      <formula>0</formula>
    </cfRule>
  </conditionalFormatting>
  <conditionalFormatting sqref="D39:I39">
    <cfRule type="cellIs" dxfId="0" priority="3" operator="lessThan">
      <formula>0</formula>
    </cfRule>
  </conditionalFormatting>
  <hyperlinks>
    <hyperlink ref="L27" r:id="rId1" xr:uid="{E8F573CB-23E7-4C05-B276-E101863962CA}"/>
    <hyperlink ref="L28" r:id="rId2" display="pedro.cantuel@celticaenergia.com" xr:uid="{07455721-D620-4F64-8AB9-EBF09BF91049}"/>
    <hyperlink ref="L62" r:id="rId3" display="Darmigny.Stephanie@ethypharm.com" xr:uid="{C318B3B0-AC11-434D-BB26-A698BA294FFD}"/>
    <hyperlink ref="L63" r:id="rId4" display="begona.ortuzar@ethypharm.com" xr:uid="{59EB1094-D216-49FE-8272-A508383CFB67}"/>
    <hyperlink ref="L66" r:id="rId5" display="sindia.casado@celticaenergia.com" xr:uid="{7E3D5DE3-B0C1-4356-A030-F7A4C8BA62D4}"/>
    <hyperlink ref="L33" r:id="rId6" xr:uid="{ACD34CD8-FA1C-462B-8EEE-3F24A8C7A0AA}"/>
    <hyperlink ref="L67" r:id="rId7" display="david.serrano@ignis.es" xr:uid="{F645105F-345C-44B5-9EC0-5E77796AF174}"/>
    <hyperlink ref="L68" r:id="rId8" display="mailto:jm.aranguez@montfrisa.es" xr:uid="{FD430922-BA5F-497B-9897-F5347D003614}"/>
    <hyperlink ref="L71" r:id="rId9" xr:uid="{0F697108-6A1B-45A2-95B2-B48B7D5E2839}"/>
    <hyperlink ref="L72" r:id="rId10" xr:uid="{3E11EBB4-2B2E-4772-9F07-B577B836A790}"/>
  </hyperlinks>
  <printOptions horizontalCentered="1" verticalCentered="1"/>
  <pageMargins left="0" right="0" top="0" bottom="0" header="0" footer="0"/>
  <pageSetup paperSize="8" orientation="portrait" r:id="rId11"/>
  <rowBreaks count="1" manualBreakCount="1">
    <brk id="76" max="16383" man="1"/>
  </rowBreaks>
  <colBreaks count="1" manualBreakCount="1">
    <brk id="9" max="1048575" man="1"/>
  </colBreaks>
  <ignoredErrors>
    <ignoredError sqref="B34:C36 E34:F35 H34:I35" formulaRange="1"/>
  </ignoredErrors>
  <drawing r:id="rId1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677B5-7CB1-492A-9F3C-6056863C26DE}">
  <sheetPr codeName="Hoja9"/>
  <dimension ref="B1:AA35"/>
  <sheetViews>
    <sheetView showGridLines="0" zoomScale="90" zoomScaleNormal="90" workbookViewId="0">
      <selection activeCell="P15" sqref="P15"/>
    </sheetView>
  </sheetViews>
  <sheetFormatPr baseColWidth="10" defaultColWidth="11.54296875" defaultRowHeight="14.5" x14ac:dyDescent="0.35"/>
  <cols>
    <col min="1" max="1" width="2.90625" style="23" customWidth="1"/>
    <col min="2" max="2" width="16.81640625" style="23" bestFit="1" customWidth="1"/>
    <col min="3" max="3" width="11.6328125" style="23" bestFit="1" customWidth="1"/>
    <col min="4" max="4" width="10.08984375" style="23" bestFit="1" customWidth="1"/>
    <col min="5" max="5" width="8.6328125" style="23" bestFit="1" customWidth="1"/>
    <col min="6" max="6" width="9.90625" style="23" bestFit="1" customWidth="1"/>
    <col min="7" max="7" width="10.08984375" style="23" bestFit="1" customWidth="1"/>
    <col min="8" max="8" width="9.90625" style="23" bestFit="1" customWidth="1"/>
    <col min="9" max="9" width="7" style="23" bestFit="1" customWidth="1"/>
    <col min="10" max="10" width="10.08984375" style="23" bestFit="1" customWidth="1"/>
    <col min="11" max="11" width="7" style="23" bestFit="1" customWidth="1"/>
    <col min="12" max="12" width="4.6328125" style="23" bestFit="1" customWidth="1"/>
    <col min="13" max="13" width="16.81640625" style="23" bestFit="1" customWidth="1"/>
    <col min="14" max="14" width="16" style="23" bestFit="1" customWidth="1"/>
    <col min="15" max="15" width="8.90625" style="23" bestFit="1" customWidth="1"/>
    <col min="16" max="16" width="13.1796875" style="23" bestFit="1" customWidth="1"/>
    <col min="17" max="17" width="6.90625" style="23" bestFit="1" customWidth="1"/>
    <col min="18" max="18" width="11.1796875" style="23" bestFit="1" customWidth="1"/>
    <col min="19" max="19" width="8.1796875" style="23" bestFit="1" customWidth="1"/>
    <col min="20" max="20" width="4.453125" style="23" bestFit="1" customWidth="1"/>
    <col min="21" max="21" width="16.81640625" style="23" bestFit="1" customWidth="1"/>
    <col min="22" max="22" width="16" style="23" bestFit="1" customWidth="1"/>
    <col min="23" max="23" width="8.90625" style="23" bestFit="1" customWidth="1"/>
    <col min="24" max="24" width="13.1796875" style="23" bestFit="1" customWidth="1"/>
    <col min="25" max="25" width="6.90625" style="23" bestFit="1" customWidth="1"/>
    <col min="26" max="26" width="11.1796875" style="23" bestFit="1" customWidth="1"/>
    <col min="27" max="27" width="12.6328125" style="23" bestFit="1" customWidth="1"/>
    <col min="28" max="28" width="3.08984375" style="23" customWidth="1"/>
    <col min="29" max="29" width="16.81640625" style="23" bestFit="1" customWidth="1"/>
    <col min="30" max="30" width="16" style="23" bestFit="1" customWidth="1"/>
    <col min="31" max="31" width="8.90625" style="23" bestFit="1" customWidth="1"/>
    <col min="32" max="32" width="13.1796875" style="23" bestFit="1" customWidth="1"/>
    <col min="33" max="33" width="6.90625" style="23" bestFit="1" customWidth="1"/>
    <col min="34" max="34" width="11.1796875" style="23" bestFit="1" customWidth="1"/>
    <col min="35" max="35" width="4.81640625" style="23" bestFit="1" customWidth="1"/>
    <col min="36" max="36" width="2.90625" style="23" customWidth="1"/>
    <col min="37" max="37" width="16.81640625" style="23" bestFit="1" customWidth="1"/>
    <col min="38" max="38" width="16" style="23" bestFit="1" customWidth="1"/>
    <col min="39" max="39" width="8.90625" style="23" bestFit="1" customWidth="1"/>
    <col min="40" max="40" width="13.1796875" style="23" bestFit="1" customWidth="1"/>
    <col min="41" max="41" width="6.90625" style="23" bestFit="1" customWidth="1"/>
    <col min="42" max="42" width="11.1796875" style="23" bestFit="1" customWidth="1"/>
    <col min="43" max="43" width="4.81640625" style="23" bestFit="1" customWidth="1"/>
    <col min="44" max="44" width="3.453125" style="23" customWidth="1"/>
    <col min="45" max="45" width="16.81640625" style="23" bestFit="1" customWidth="1"/>
    <col min="46" max="46" width="16" style="23" bestFit="1" customWidth="1"/>
    <col min="47" max="47" width="8.90625" style="23" bestFit="1" customWidth="1"/>
    <col min="48" max="48" width="13.1796875" style="23" bestFit="1" customWidth="1"/>
    <col min="49" max="49" width="6.90625" style="23" bestFit="1" customWidth="1"/>
    <col min="50" max="50" width="11.1796875" style="23" bestFit="1" customWidth="1"/>
    <col min="51" max="51" width="4.81640625" style="23" bestFit="1" customWidth="1"/>
    <col min="52" max="16384" width="11.54296875" style="23"/>
  </cols>
  <sheetData>
    <row r="1" spans="2:27" ht="15" thickBot="1" x14ac:dyDescent="0.4"/>
    <row r="2" spans="2:27" x14ac:dyDescent="0.35">
      <c r="B2" s="28" t="s">
        <v>44</v>
      </c>
      <c r="C2" s="33" t="s">
        <v>45</v>
      </c>
      <c r="D2" s="33" t="s">
        <v>46</v>
      </c>
      <c r="E2" s="33" t="s">
        <v>47</v>
      </c>
      <c r="F2" s="29" t="s">
        <v>48</v>
      </c>
      <c r="H2" s="28" t="s">
        <v>45</v>
      </c>
      <c r="I2" s="34">
        <v>1</v>
      </c>
      <c r="J2" s="34">
        <v>2</v>
      </c>
      <c r="K2" s="34">
        <v>3</v>
      </c>
      <c r="L2" s="34">
        <v>4</v>
      </c>
      <c r="M2" s="34">
        <v>5</v>
      </c>
      <c r="N2" s="34">
        <v>6</v>
      </c>
      <c r="O2" s="34">
        <v>7</v>
      </c>
      <c r="P2" s="34">
        <v>8</v>
      </c>
      <c r="Q2" s="34">
        <v>9</v>
      </c>
      <c r="R2" s="34">
        <v>10</v>
      </c>
      <c r="S2" s="34">
        <v>11</v>
      </c>
      <c r="T2" s="35">
        <v>12</v>
      </c>
    </row>
    <row r="3" spans="2:27" ht="15" thickBot="1" x14ac:dyDescent="0.4">
      <c r="B3" s="36">
        <f ca="1">DAY(TODAY())</f>
        <v>24</v>
      </c>
      <c r="C3" s="37">
        <f ca="1">MONTH(TODAY())</f>
        <v>3</v>
      </c>
      <c r="D3" s="37">
        <f ca="1">YEAR(TODAY())</f>
        <v>2025</v>
      </c>
      <c r="E3" s="37" t="str">
        <f ca="1">_xlfn.XLOOKUP(C3,$I$2:$T$2,$I$4:$T$4)</f>
        <v>Q1</v>
      </c>
      <c r="F3" s="38" t="str">
        <f ca="1">_xlfn.XLOOKUP(C3,I2:T2,I5:T5)&amp;"-"&amp;IF(C3&lt;=3,RIGHT(D3,2)-1,IF(AND(C3&gt;3),RIGHT(D3,2)))</f>
        <v>Win-24</v>
      </c>
      <c r="H3" s="39" t="s">
        <v>49</v>
      </c>
      <c r="I3" s="23" t="s">
        <v>50</v>
      </c>
      <c r="J3" s="23" t="s">
        <v>51</v>
      </c>
      <c r="K3" s="23" t="s">
        <v>52</v>
      </c>
      <c r="L3" s="23" t="s">
        <v>53</v>
      </c>
      <c r="M3" s="23" t="s">
        <v>54</v>
      </c>
      <c r="N3" s="23" t="s">
        <v>55</v>
      </c>
      <c r="O3" s="23" t="s">
        <v>56</v>
      </c>
      <c r="P3" s="23" t="s">
        <v>57</v>
      </c>
      <c r="Q3" s="23" t="s">
        <v>58</v>
      </c>
      <c r="R3" s="23" t="s">
        <v>59</v>
      </c>
      <c r="S3" s="23" t="s">
        <v>60</v>
      </c>
      <c r="T3" s="40" t="s">
        <v>61</v>
      </c>
    </row>
    <row r="4" spans="2:27" x14ac:dyDescent="0.35">
      <c r="B4" s="41"/>
      <c r="C4" s="41"/>
      <c r="D4" s="41"/>
      <c r="E4" s="41"/>
      <c r="F4" s="41"/>
      <c r="H4" s="39" t="s">
        <v>47</v>
      </c>
      <c r="I4" s="23" t="s">
        <v>62</v>
      </c>
      <c r="J4" s="23" t="s">
        <v>62</v>
      </c>
      <c r="K4" s="23" t="s">
        <v>62</v>
      </c>
      <c r="L4" s="23" t="s">
        <v>63</v>
      </c>
      <c r="M4" s="23" t="s">
        <v>63</v>
      </c>
      <c r="N4" s="23" t="s">
        <v>63</v>
      </c>
      <c r="O4" s="23" t="s">
        <v>64</v>
      </c>
      <c r="P4" s="23" t="s">
        <v>64</v>
      </c>
      <c r="Q4" s="23" t="s">
        <v>64</v>
      </c>
      <c r="R4" s="23" t="s">
        <v>65</v>
      </c>
      <c r="S4" s="23" t="s">
        <v>65</v>
      </c>
      <c r="T4" s="40" t="s">
        <v>65</v>
      </c>
    </row>
    <row r="5" spans="2:27" ht="15" thickBot="1" x14ac:dyDescent="0.4">
      <c r="B5" s="41"/>
      <c r="C5" s="41"/>
      <c r="D5" s="41"/>
      <c r="E5" s="41"/>
      <c r="F5" s="41"/>
      <c r="H5" s="42" t="s">
        <v>48</v>
      </c>
      <c r="I5" s="43" t="s">
        <v>66</v>
      </c>
      <c r="J5" s="43" t="s">
        <v>66</v>
      </c>
      <c r="K5" s="43" t="s">
        <v>66</v>
      </c>
      <c r="L5" s="43" t="s">
        <v>67</v>
      </c>
      <c r="M5" s="43" t="s">
        <v>67</v>
      </c>
      <c r="N5" s="43" t="s">
        <v>67</v>
      </c>
      <c r="O5" s="43" t="s">
        <v>67</v>
      </c>
      <c r="P5" s="43" t="s">
        <v>67</v>
      </c>
      <c r="Q5" s="43" t="s">
        <v>67</v>
      </c>
      <c r="R5" s="43" t="s">
        <v>66</v>
      </c>
      <c r="S5" s="43" t="s">
        <v>66</v>
      </c>
      <c r="T5" s="44" t="s">
        <v>66</v>
      </c>
    </row>
    <row r="6" spans="2:27" ht="15" thickBot="1" x14ac:dyDescent="0.4"/>
    <row r="7" spans="2:27" x14ac:dyDescent="0.35">
      <c r="B7" s="28" t="s">
        <v>36</v>
      </c>
      <c r="C7" s="29" t="s">
        <v>37</v>
      </c>
      <c r="M7" s="28" t="s">
        <v>36</v>
      </c>
      <c r="N7" s="29" t="s">
        <v>37</v>
      </c>
      <c r="U7" s="28" t="s">
        <v>36</v>
      </c>
      <c r="V7" s="29" t="s">
        <v>37</v>
      </c>
    </row>
    <row r="8" spans="2:27" ht="15" thickBot="1" x14ac:dyDescent="0.4">
      <c r="B8" s="30" t="e">
        <f>_xlfn.MAXIFS(#REF!,#REF!,"&lt;&gt;0",#REF!,"&lt;&gt;0",#REF!,"=ES")</f>
        <v>#REF!</v>
      </c>
      <c r="C8" s="31" t="e">
        <f>B8-7</f>
        <v>#REF!</v>
      </c>
      <c r="M8" s="49">
        <v>45037</v>
      </c>
      <c r="N8" s="50">
        <v>45030</v>
      </c>
      <c r="U8" s="30" t="e">
        <f>_xlfn.MAXIFS(#REF!,#REF!,"&lt;&gt;0")</f>
        <v>#REF!</v>
      </c>
      <c r="V8" s="31" t="e">
        <f>U8-7</f>
        <v>#REF!</v>
      </c>
    </row>
    <row r="10" spans="2:27" ht="16" thickBot="1" x14ac:dyDescent="0.4">
      <c r="B10" s="109" t="s">
        <v>73</v>
      </c>
      <c r="C10" s="108"/>
      <c r="D10" s="108"/>
      <c r="E10" s="108"/>
      <c r="F10" s="108"/>
      <c r="G10" s="108"/>
      <c r="H10" s="108"/>
      <c r="I10" s="108"/>
      <c r="J10" s="108"/>
      <c r="K10" s="108"/>
      <c r="M10" s="104" t="s">
        <v>81</v>
      </c>
      <c r="N10" s="105"/>
      <c r="O10" s="105"/>
      <c r="P10" s="105"/>
      <c r="Q10" s="105"/>
      <c r="R10" s="105"/>
      <c r="S10" s="105"/>
      <c r="U10" s="104" t="s">
        <v>80</v>
      </c>
      <c r="V10" s="105"/>
      <c r="W10" s="105"/>
      <c r="X10" s="105"/>
      <c r="Y10" s="105"/>
      <c r="Z10" s="105"/>
      <c r="AA10" s="105"/>
    </row>
    <row r="11" spans="2:27" ht="15.5" x14ac:dyDescent="0.35">
      <c r="B11" s="32" t="s">
        <v>75</v>
      </c>
      <c r="C11" s="84" t="s">
        <v>76</v>
      </c>
      <c r="D11" s="106"/>
      <c r="E11" s="85"/>
      <c r="F11" s="84" t="s">
        <v>77</v>
      </c>
      <c r="G11" s="106"/>
      <c r="H11" s="85"/>
      <c r="I11" s="107" t="s">
        <v>78</v>
      </c>
      <c r="J11" s="108"/>
      <c r="K11" s="108"/>
      <c r="M11" s="32" t="s">
        <v>39</v>
      </c>
      <c r="N11" s="32" t="s">
        <v>69</v>
      </c>
      <c r="O11" s="32" t="s">
        <v>40</v>
      </c>
      <c r="P11" s="32" t="s">
        <v>41</v>
      </c>
      <c r="Q11" s="32" t="s">
        <v>42</v>
      </c>
      <c r="R11" s="32" t="s">
        <v>68</v>
      </c>
      <c r="S11" s="32" t="s">
        <v>43</v>
      </c>
      <c r="U11" s="32" t="s">
        <v>39</v>
      </c>
      <c r="V11" s="32" t="s">
        <v>69</v>
      </c>
      <c r="W11" s="32" t="s">
        <v>40</v>
      </c>
      <c r="X11" s="32" t="s">
        <v>41</v>
      </c>
      <c r="Y11" s="32" t="s">
        <v>42</v>
      </c>
      <c r="Z11" s="32" t="s">
        <v>68</v>
      </c>
      <c r="AA11" s="32" t="s">
        <v>43</v>
      </c>
    </row>
    <row r="12" spans="2:27" ht="15.5" x14ac:dyDescent="0.35">
      <c r="B12" s="45"/>
      <c r="C12" s="45" t="s">
        <v>20</v>
      </c>
      <c r="D12" s="45" t="s">
        <v>79</v>
      </c>
      <c r="E12" s="45" t="s">
        <v>43</v>
      </c>
      <c r="F12" s="45" t="s">
        <v>20</v>
      </c>
      <c r="G12" s="45" t="s">
        <v>79</v>
      </c>
      <c r="H12" s="45" t="s">
        <v>43</v>
      </c>
      <c r="I12" s="45" t="s">
        <v>20</v>
      </c>
      <c r="J12" s="45" t="s">
        <v>79</v>
      </c>
      <c r="K12" s="45" t="s">
        <v>43</v>
      </c>
      <c r="M12" s="51">
        <f ca="1">EDATE(DATE($D$3,$C$3,1),1)</f>
        <v>45748</v>
      </c>
      <c r="N12" s="52">
        <f ca="1">DATE(YEAR(M12),MONTH(M12),1)</f>
        <v>45748</v>
      </c>
      <c r="O12" s="51" t="str">
        <f ca="1">"M"&amp;MONTH(N12)&amp;"_"&amp;YEAR(N12)</f>
        <v>M4_2025</v>
      </c>
      <c r="P12" s="51" t="str">
        <f ca="1">"M "&amp;_xlfn.XLOOKUP(MONTH(M12),$I$2:$T$2,$I$3:$T$3)&amp;"-"&amp;RIGHT(YEAR(N12),2)</f>
        <v>M Apr-25</v>
      </c>
      <c r="Q12" s="74">
        <v>12.77</v>
      </c>
      <c r="R12" s="74">
        <v>12.79</v>
      </c>
      <c r="S12" s="47">
        <f>IF(OR(Q12="",R12=""),"",Q12/R12-1)</f>
        <v>-1.5637216575449253E-3</v>
      </c>
      <c r="U12" s="51">
        <f ca="1">EDATE(DATE($D$3,$C$3,1),1)</f>
        <v>45748</v>
      </c>
      <c r="V12" s="52">
        <f ca="1">DATE(YEAR(U12),MONTH(U12),1)</f>
        <v>45748</v>
      </c>
      <c r="W12" s="51" t="str">
        <f ca="1">"M"&amp;MONTH(V12)&amp;"_"&amp;YEAR(V12)</f>
        <v>M4_2025</v>
      </c>
      <c r="X12" s="51" t="str">
        <f ca="1">"M "&amp;_xlfn.XLOOKUP(MONTH(U12),$I$2:$T$2,$I$3:$T$3)&amp;"-"&amp;RIGHT(YEAR(V12),2)</f>
        <v>M Apr-25</v>
      </c>
      <c r="Y12" s="53" t="e">
        <f ca="1">_xlfn.XLOOKUP(CONCATENATE(U8,$W12),#REF!,#REF!)</f>
        <v>#REF!</v>
      </c>
      <c r="Z12" s="53" t="e">
        <f ca="1">_xlfn.XLOOKUP(CONCATENATE(V8,$W12),#REF!,#REF!)</f>
        <v>#REF!</v>
      </c>
      <c r="AA12" s="47" t="e">
        <f ca="1">IF(OR(Y12="",Z12=""),"",Y12/Z12-1)</f>
        <v>#REF!</v>
      </c>
    </row>
    <row r="13" spans="2:27" x14ac:dyDescent="0.35">
      <c r="B13" s="46" t="s">
        <v>74</v>
      </c>
      <c r="C13" s="47" t="e">
        <f>_xlfn.XLOOKUP(CONCATENATE($B$8,"ES"),#REF!,#REF!)/_xlfn.XLOOKUP(CONCATENATE($B$8,"ES"),#REF!,#REF!)</f>
        <v>#REF!</v>
      </c>
      <c r="D13" s="47" t="e">
        <f>_xlfn.XLOOKUP(CONCATENATE($C$8,"ES"),#REF!,#REF!)/_xlfn.XLOOKUP(CONCATENATE($C$8,"ES"),#REF!,#REF!)</f>
        <v>#REF!</v>
      </c>
      <c r="E13" s="47" t="e">
        <f>IF(OR(C13="",D13=""),"",C13/D13-1)</f>
        <v>#REF!</v>
      </c>
      <c r="F13" s="47" t="e">
        <f>_xlfn.XLOOKUP(CONCATENATE($B$8,"FR"),#REF!,#REF!)/_xlfn.XLOOKUP(CONCATENATE($B$8,"FR"),#REF!,#REF!)</f>
        <v>#REF!</v>
      </c>
      <c r="G13" s="47" t="e">
        <f>_xlfn.XLOOKUP(CONCATENATE($C$8,"FR"),#REF!,#REF!)/_xlfn.XLOOKUP(CONCATENATE($C$8,"FR"),#REF!,#REF!)</f>
        <v>#REF!</v>
      </c>
      <c r="H13" s="47" t="e">
        <f>IF(OR(F13="",G13=""),"",F13/G13-1)</f>
        <v>#REF!</v>
      </c>
      <c r="I13" s="47" t="e">
        <f>_xlfn.XLOOKUP(CONCATENATE($B$8,"eu"),#REF!,#REF!)/_xlfn.XLOOKUP(CONCATENATE($B$8,"eu"),#REF!,#REF!)</f>
        <v>#REF!</v>
      </c>
      <c r="J13" s="47" t="e">
        <f>_xlfn.XLOOKUP(CONCATENATE($C$8,"eu"),#REF!,#REF!)/_xlfn.XLOOKUP(CONCATENATE($C$8,"eu"),#REF!,#REF!)</f>
        <v>#REF!</v>
      </c>
      <c r="K13" s="47" t="e">
        <f>IF(OR(I13="",J13=""),"",I13/J13-1)</f>
        <v>#REF!</v>
      </c>
      <c r="Q13" s="73"/>
    </row>
    <row r="15" spans="2:27" x14ac:dyDescent="0.35">
      <c r="M15" s="54"/>
    </row>
    <row r="16" spans="2:27" x14ac:dyDescent="0.35">
      <c r="M16" s="54" t="s">
        <v>121</v>
      </c>
    </row>
    <row r="35" ht="14.4" customHeight="1" x14ac:dyDescent="0.35"/>
  </sheetData>
  <mergeCells count="6">
    <mergeCell ref="U10:AA10"/>
    <mergeCell ref="C11:E11"/>
    <mergeCell ref="F11:H11"/>
    <mergeCell ref="I11:K11"/>
    <mergeCell ref="B10:K10"/>
    <mergeCell ref="M10:S10"/>
  </mergeCells>
  <hyperlinks>
    <hyperlink ref="M16" r:id="rId1" display="https://www.ice.com/products/82725198/NWE-LNG-Spark-Futures/data?marketId=7203187&amp;span=1" xr:uid="{CFA54949-4D48-4117-8D16-0ED46967F912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31573-021A-4BE5-BEFF-D5BB46314BA0}">
  <dimension ref="A3:E12"/>
  <sheetViews>
    <sheetView workbookViewId="0">
      <selection activeCell="E14" sqref="E14"/>
    </sheetView>
  </sheetViews>
  <sheetFormatPr baseColWidth="10" defaultRowHeight="14.5" x14ac:dyDescent="0.35"/>
  <sheetData>
    <row r="3" spans="1:5" x14ac:dyDescent="0.35">
      <c r="B3" t="s">
        <v>205</v>
      </c>
      <c r="D3" t="s">
        <v>206</v>
      </c>
    </row>
    <row r="4" spans="1:5" x14ac:dyDescent="0.35">
      <c r="B4" t="s">
        <v>204</v>
      </c>
      <c r="C4" t="s">
        <v>37</v>
      </c>
      <c r="D4" t="s">
        <v>204</v>
      </c>
      <c r="E4" t="s">
        <v>37</v>
      </c>
    </row>
    <row r="5" spans="1:5" x14ac:dyDescent="0.35">
      <c r="A5" t="s">
        <v>72</v>
      </c>
      <c r="B5" s="21">
        <v>0.6119</v>
      </c>
      <c r="C5" s="21">
        <v>0.61809999999999998</v>
      </c>
      <c r="D5" s="77">
        <v>1384.36</v>
      </c>
      <c r="E5">
        <v>1089.73</v>
      </c>
    </row>
    <row r="6" spans="1:5" x14ac:dyDescent="0.35">
      <c r="A6" t="s">
        <v>70</v>
      </c>
      <c r="B6" s="21">
        <v>0.21740000000000001</v>
      </c>
      <c r="C6" s="21">
        <v>0.21779999999999999</v>
      </c>
      <c r="D6" s="77">
        <v>760.53</v>
      </c>
      <c r="E6">
        <v>917.79</v>
      </c>
    </row>
    <row r="7" spans="1:5" x14ac:dyDescent="0.35">
      <c r="A7" t="s">
        <v>71</v>
      </c>
      <c r="B7" s="21">
        <v>0.2878</v>
      </c>
      <c r="C7" s="21">
        <v>0.30030000000000001</v>
      </c>
      <c r="D7" s="77">
        <v>206.62</v>
      </c>
      <c r="E7">
        <v>334.76</v>
      </c>
    </row>
    <row r="10" spans="1:5" x14ac:dyDescent="0.35">
      <c r="D10">
        <v>3446.5</v>
      </c>
      <c r="E10">
        <v>3446.5</v>
      </c>
    </row>
    <row r="11" spans="1:5" x14ac:dyDescent="0.35">
      <c r="D11">
        <v>1485.3</v>
      </c>
      <c r="E11">
        <v>1485.3</v>
      </c>
    </row>
    <row r="12" spans="1:5" x14ac:dyDescent="0.35">
      <c r="D12">
        <v>645.08000000000004</v>
      </c>
      <c r="E12">
        <v>645.08000000000004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37c419b-1b9e-4a10-bd60-378bbfaeba85" xsi:nil="true"/>
    <lcf76f155ced4ddcb4097134ff3c332f xmlns="f9242ec2-cd03-4b4a-aa05-a9ea2c005ea3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1705FD87D100D41960F4EE474A8B63D" ma:contentTypeVersion="17" ma:contentTypeDescription="Crear nuevo documento." ma:contentTypeScope="" ma:versionID="056a0e3e32df2094b4c1937fabd82040">
  <xsd:schema xmlns:xsd="http://www.w3.org/2001/XMLSchema" xmlns:xs="http://www.w3.org/2001/XMLSchema" xmlns:p="http://schemas.microsoft.com/office/2006/metadata/properties" xmlns:ns2="f9242ec2-cd03-4b4a-aa05-a9ea2c005ea3" xmlns:ns3="f37c419b-1b9e-4a10-bd60-378bbfaeba85" targetNamespace="http://schemas.microsoft.com/office/2006/metadata/properties" ma:root="true" ma:fieldsID="7b2f9df3ad1f6464ff9f43d83ce760e5" ns2:_="" ns3:_="">
    <xsd:import namespace="f9242ec2-cd03-4b4a-aa05-a9ea2c005ea3"/>
    <xsd:import namespace="f37c419b-1b9e-4a10-bd60-378bbfaeba8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LengthInSecond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9242ec2-cd03-4b4a-aa05-a9ea2c005ea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5" nillable="true" ma:taxonomy="true" ma:internalName="lcf76f155ced4ddcb4097134ff3c332f" ma:taxonomyFieldName="MediaServiceImageTags" ma:displayName="Etiquetas de imagen" ma:readOnly="false" ma:fieldId="{5cf76f15-5ced-4ddc-b409-7134ff3c332f}" ma:taxonomyMulti="true" ma:sspId="941f9314-07c1-43ad-84e4-00136e4d8f8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1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37c419b-1b9e-4a10-bd60-378bbfaeba85" elementFormDefault="qualified">
    <xsd:import namespace="http://schemas.microsoft.com/office/2006/documentManagement/types"/>
    <xsd:import namespace="http://schemas.microsoft.com/office/infopath/2007/PartnerControls"/>
    <xsd:element name="TaxCatchAll" ma:index="10" nillable="true" ma:displayName="Taxonomy Catch All Column" ma:hidden="true" ma:list="{89bc0fc1-0288-42e8-a826-414f6dc59e72}" ma:internalName="TaxCatchAll" ma:showField="CatchAllData" ma:web="f37c419b-1b9e-4a10-bd60-378bbfaeba8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D164288-28CE-4ED3-AA61-E56A0C4E7A4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2044DC6-D5EB-493C-8C3F-664190A0DB9C}">
  <ds:schemaRefs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infopath/2007/PartnerControls"/>
    <ds:schemaRef ds:uri="f9242ec2-cd03-4b4a-aa05-a9ea2c005ea3"/>
    <ds:schemaRef ds:uri="http://schemas.openxmlformats.org/package/2006/metadata/core-properties"/>
    <ds:schemaRef ds:uri="http://purl.org/dc/terms/"/>
    <ds:schemaRef ds:uri="f37c419b-1b9e-4a10-bd60-378bbfaeba85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F7F9A366-8241-41B5-9294-57FC4F39D13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9242ec2-cd03-4b4a-aa05-a9ea2c005ea3"/>
    <ds:schemaRef ds:uri="f37c419b-1b9e-4a10-bd60-378bbfaeba8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Informe</vt:lpstr>
      <vt:lpstr>GNL</vt:lpstr>
      <vt:lpstr>Hoja1</vt:lpstr>
      <vt:lpstr>Informe!Área_de_impresión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Claudia Rios Marcos</dc:creator>
  <cp:lastModifiedBy>Mikel Perez Yarnoz</cp:lastModifiedBy>
  <cp:lastPrinted>2025-03-24T13:10:03Z</cp:lastPrinted>
  <dcterms:created xsi:type="dcterms:W3CDTF">2023-01-23T14:15:30Z</dcterms:created>
  <dcterms:modified xsi:type="dcterms:W3CDTF">2025-03-24T13:15:31Z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0x01010011705FD87D100D41960F4EE474A8B63D</vt:lpwstr>
  </property>
  <property fmtid="{D5CDD505-2E9C-101B-9397-08002B2CF9AE}" pid="3" name="MediaServiceImageTags">
    <vt:lpwstr/>
  </property>
</Properties>
</file>