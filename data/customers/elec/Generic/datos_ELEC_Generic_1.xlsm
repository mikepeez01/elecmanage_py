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kel.perez\0_Python_projects_v2\data\customers\elec\Generic\"/>
    </mc:Choice>
  </mc:AlternateContent>
  <xr:revisionPtr revIDLastSave="0" documentId="13_ncr:1_{6D3156EB-E643-4FCC-899A-DF32D8CE3408}" xr6:coauthVersionLast="47" xr6:coauthVersionMax="47" xr10:uidLastSave="{00000000-0000-0000-0000-000000000000}"/>
  <bookViews>
    <workbookView xWindow="-110" yWindow="-110" windowWidth="19420" windowHeight="11500" tabRatio="499" activeTab="3" xr2:uid="{AC2D472D-CA2D-4357-BB67-2A665C99BBA5}"/>
  </bookViews>
  <sheets>
    <sheet name="Contrato Marco" sheetId="3" r:id="rId1"/>
    <sheet name="Ficha Cliente" sheetId="6" r:id="rId2"/>
    <sheet name="Potencia" sheetId="14" r:id="rId3"/>
    <sheet name="Electrointensivos" sheetId="15" r:id="rId4"/>
  </sheets>
  <functionGroup name="Commands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" i="6" l="1"/>
  <c r="G18" i="6"/>
  <c r="F18" i="6"/>
  <c r="E18" i="6"/>
  <c r="D18" i="6"/>
  <c r="C18" i="6"/>
  <c r="H17" i="6"/>
  <c r="G17" i="6"/>
  <c r="F17" i="6"/>
  <c r="E17" i="6"/>
  <c r="D17" i="6"/>
  <c r="C17" i="6"/>
  <c r="H16" i="6"/>
  <c r="G16" i="6"/>
  <c r="F16" i="6"/>
  <c r="E16" i="6"/>
  <c r="D16" i="6"/>
  <c r="C16" i="6"/>
  <c r="H15" i="6"/>
  <c r="G15" i="6"/>
  <c r="F15" i="6"/>
  <c r="E15" i="6"/>
  <c r="D15" i="6"/>
  <c r="C15" i="6"/>
  <c r="H14" i="6"/>
  <c r="G14" i="6"/>
  <c r="F14" i="6"/>
  <c r="E14" i="6"/>
  <c r="D14" i="6"/>
  <c r="C14" i="6"/>
  <c r="H13" i="6"/>
  <c r="G13" i="6"/>
  <c r="F13" i="6"/>
  <c r="E13" i="6"/>
  <c r="D13" i="6"/>
  <c r="C13" i="6"/>
  <c r="H12" i="6"/>
  <c r="G12" i="6"/>
  <c r="F12" i="6"/>
  <c r="E12" i="6"/>
  <c r="D12" i="6"/>
  <c r="C12" i="6"/>
  <c r="H11" i="6"/>
  <c r="G11" i="6"/>
  <c r="F11" i="6"/>
  <c r="E11" i="6"/>
  <c r="D11" i="6"/>
  <c r="C11" i="6"/>
  <c r="H10" i="6"/>
  <c r="G10" i="6"/>
  <c r="F10" i="6"/>
  <c r="E10" i="6"/>
  <c r="D10" i="6"/>
  <c r="C10" i="6"/>
  <c r="H9" i="6"/>
  <c r="G9" i="6"/>
  <c r="F9" i="6"/>
  <c r="E9" i="6"/>
  <c r="D9" i="6"/>
  <c r="C9" i="6"/>
  <c r="H8" i="6"/>
  <c r="G8" i="6"/>
  <c r="F8" i="6"/>
  <c r="E8" i="6"/>
  <c r="D8" i="6"/>
  <c r="C8" i="6"/>
  <c r="H7" i="6"/>
  <c r="G7" i="6"/>
  <c r="F7" i="6"/>
  <c r="E7" i="6"/>
  <c r="D7" i="6"/>
  <c r="C7" i="6"/>
  <c r="CA31" i="6"/>
  <c r="BZ31" i="6"/>
  <c r="U52" i="3"/>
  <c r="T52" i="3"/>
  <c r="S52" i="3"/>
  <c r="R52" i="3"/>
  <c r="Q52" i="3"/>
  <c r="P52" i="3"/>
  <c r="O3" i="3"/>
  <c r="BE52" i="3" l="1"/>
  <c r="BD52" i="3"/>
  <c r="BC52" i="3"/>
  <c r="BB52" i="3"/>
  <c r="BA52" i="3"/>
  <c r="AZ52" i="3"/>
  <c r="AV52" i="3"/>
  <c r="AU52" i="3"/>
  <c r="AT52" i="3"/>
  <c r="AS52" i="3"/>
  <c r="AR52" i="3"/>
  <c r="AQ52" i="3"/>
  <c r="AM52" i="3"/>
  <c r="AL52" i="3"/>
  <c r="AK52" i="3"/>
  <c r="AJ52" i="3"/>
  <c r="AI52" i="3"/>
  <c r="AH52" i="3"/>
  <c r="AD52" i="3"/>
  <c r="AC52" i="3"/>
  <c r="AB52" i="3"/>
  <c r="AA52" i="3"/>
  <c r="Z52" i="3"/>
  <c r="Y52" i="3"/>
  <c r="L52" i="3"/>
  <c r="K52" i="3"/>
  <c r="J52" i="3"/>
  <c r="I52" i="3"/>
  <c r="H52" i="3"/>
  <c r="G52" i="3"/>
  <c r="AY3" i="3" l="1"/>
  <c r="AP3" i="3"/>
  <c r="AG3" i="3"/>
  <c r="F3" i="3"/>
  <c r="AH18" i="3" l="1"/>
  <c r="AT8" i="3"/>
  <c r="R50" i="3"/>
  <c r="P50" i="3"/>
  <c r="U50" i="3"/>
  <c r="T50" i="3"/>
  <c r="S50" i="3"/>
  <c r="Q50" i="3"/>
  <c r="AT20" i="3"/>
  <c r="AR18" i="3"/>
  <c r="AJ7" i="3"/>
  <c r="AM20" i="3"/>
  <c r="AK18" i="3"/>
  <c r="AI8" i="3"/>
  <c r="AV23" i="3"/>
  <c r="BC23" i="3"/>
  <c r="AI7" i="3"/>
  <c r="AL20" i="3"/>
  <c r="AJ18" i="3"/>
  <c r="AH8" i="3"/>
  <c r="AU23" i="3"/>
  <c r="AS20" i="3"/>
  <c r="AQ18" i="3"/>
  <c r="BE7" i="3"/>
  <c r="BB23" i="3"/>
  <c r="AZ20" i="3"/>
  <c r="BD8" i="3"/>
  <c r="BA50" i="3"/>
  <c r="BB39" i="3"/>
  <c r="AZ38" i="3"/>
  <c r="BB50" i="3"/>
  <c r="BC39" i="3"/>
  <c r="BC50" i="3"/>
  <c r="BA38" i="3"/>
  <c r="BD39" i="3"/>
  <c r="BD50" i="3"/>
  <c r="BE50" i="3"/>
  <c r="BC38" i="3"/>
  <c r="BD38" i="3"/>
  <c r="BE38" i="3"/>
  <c r="AZ50" i="3"/>
  <c r="BA39" i="3"/>
  <c r="AZ39" i="3"/>
  <c r="AZ7" i="3"/>
  <c r="BE8" i="3"/>
  <c r="I50" i="3"/>
  <c r="J50" i="3"/>
  <c r="K50" i="3"/>
  <c r="G50" i="3"/>
  <c r="H50" i="3"/>
  <c r="AM23" i="3"/>
  <c r="AK20" i="3"/>
  <c r="AI18" i="3"/>
  <c r="AQ7" i="3"/>
  <c r="AT23" i="3"/>
  <c r="AR20" i="3"/>
  <c r="AV8" i="3"/>
  <c r="BD7" i="3"/>
  <c r="BA23" i="3"/>
  <c r="BE18" i="3"/>
  <c r="BC8" i="3"/>
  <c r="AA50" i="3"/>
  <c r="AT38" i="3"/>
  <c r="AL23" i="3"/>
  <c r="AJ20" i="3"/>
  <c r="AV7" i="3"/>
  <c r="AS23" i="3"/>
  <c r="AQ20" i="3"/>
  <c r="AU8" i="3"/>
  <c r="BC7" i="3"/>
  <c r="AZ23" i="3"/>
  <c r="BD18" i="3"/>
  <c r="BB8" i="3"/>
  <c r="AQ39" i="3"/>
  <c r="AV50" i="3"/>
  <c r="AM50" i="3"/>
  <c r="AK38" i="3"/>
  <c r="AH38" i="3"/>
  <c r="AL38" i="3"/>
  <c r="AM38" i="3"/>
  <c r="AI50" i="3"/>
  <c r="AJ39" i="3"/>
  <c r="AJ50" i="3"/>
  <c r="AK39" i="3"/>
  <c r="AK50" i="3"/>
  <c r="AI38" i="3"/>
  <c r="AL39" i="3"/>
  <c r="AH50" i="3"/>
  <c r="AL50" i="3"/>
  <c r="AJ38" i="3"/>
  <c r="AM39" i="3"/>
  <c r="AH39" i="3"/>
  <c r="AH7" i="3"/>
  <c r="AK23" i="3"/>
  <c r="AI20" i="3"/>
  <c r="AM8" i="3"/>
  <c r="AU7" i="3"/>
  <c r="AR23" i="3"/>
  <c r="AV18" i="3"/>
  <c r="BB7" i="3"/>
  <c r="BE20" i="3"/>
  <c r="BC18" i="3"/>
  <c r="BA8" i="3"/>
  <c r="AI39" i="3"/>
  <c r="AS50" i="3"/>
  <c r="AT39" i="3"/>
  <c r="AT50" i="3"/>
  <c r="AR38" i="3"/>
  <c r="AU39" i="3"/>
  <c r="AU50" i="3"/>
  <c r="AS38" i="3"/>
  <c r="AV39" i="3"/>
  <c r="AQ50" i="3"/>
  <c r="AU38" i="3"/>
  <c r="AQ38" i="3"/>
  <c r="AV38" i="3"/>
  <c r="AR39" i="3"/>
  <c r="AR50" i="3"/>
  <c r="AS39" i="3"/>
  <c r="AM7" i="3"/>
  <c r="AJ23" i="3"/>
  <c r="AH20" i="3"/>
  <c r="AL8" i="3"/>
  <c r="AT7" i="3"/>
  <c r="AQ23" i="3"/>
  <c r="AU18" i="3"/>
  <c r="AS8" i="3"/>
  <c r="BA7" i="3"/>
  <c r="BD20" i="3"/>
  <c r="BB18" i="3"/>
  <c r="AZ8" i="3"/>
  <c r="Z50" i="3"/>
  <c r="Y50" i="3"/>
  <c r="AB50" i="3"/>
  <c r="AC50" i="3"/>
  <c r="AD50" i="3"/>
  <c r="AL7" i="3"/>
  <c r="AI23" i="3"/>
  <c r="AM18" i="3"/>
  <c r="AK8" i="3"/>
  <c r="AS7" i="3"/>
  <c r="AV20" i="3"/>
  <c r="AT18" i="3"/>
  <c r="AR8" i="3"/>
  <c r="BE23" i="3"/>
  <c r="BC20" i="3"/>
  <c r="BA18" i="3"/>
  <c r="L50" i="3"/>
  <c r="BE39" i="3"/>
  <c r="BA20" i="3"/>
  <c r="AK7" i="3"/>
  <c r="AH23" i="3"/>
  <c r="AL18" i="3"/>
  <c r="AJ8" i="3"/>
  <c r="AR7" i="3"/>
  <c r="AU20" i="3"/>
  <c r="AS18" i="3"/>
  <c r="AQ8" i="3"/>
  <c r="BD23" i="3"/>
  <c r="BB20" i="3"/>
  <c r="AZ18" i="3"/>
  <c r="BB38" i="3"/>
  <c r="V7" i="3" l="1"/>
  <c r="AE38" i="3"/>
  <c r="AN39" i="3"/>
  <c r="AW18" i="3"/>
  <c r="BF7" i="3"/>
  <c r="V8" i="3"/>
  <c r="M7" i="3"/>
  <c r="AN20" i="3"/>
  <c r="AW8" i="3"/>
  <c r="AE18" i="3"/>
  <c r="M18" i="3"/>
  <c r="BF39" i="3"/>
  <c r="AW20" i="3"/>
  <c r="BF20" i="3"/>
  <c r="AE20" i="3"/>
  <c r="AE7" i="3"/>
  <c r="BF8" i="3"/>
  <c r="V18" i="3"/>
  <c r="M20" i="3"/>
  <c r="V23" i="3"/>
  <c r="V38" i="3"/>
  <c r="AE39" i="3"/>
  <c r="AN18" i="3"/>
  <c r="V20" i="3"/>
  <c r="M23" i="3"/>
  <c r="V39" i="3"/>
  <c r="AW39" i="3"/>
  <c r="BF23" i="3"/>
  <c r="AN23" i="3"/>
  <c r="AW23" i="3"/>
  <c r="AW7" i="3"/>
  <c r="M8" i="3"/>
  <c r="AN8" i="3"/>
  <c r="BF18" i="3"/>
  <c r="AE23" i="3"/>
  <c r="BF38" i="3"/>
  <c r="AN7" i="3"/>
  <c r="AE8" i="3"/>
  <c r="AW38" i="3"/>
  <c r="AN38" i="3"/>
  <c r="M39" i="3"/>
  <c r="M38" i="3"/>
</calcChain>
</file>

<file path=xl/sharedStrings.xml><?xml version="1.0" encoding="utf-8"?>
<sst xmlns="http://schemas.openxmlformats.org/spreadsheetml/2006/main" count="673" uniqueCount="154">
  <si>
    <t>Periodo</t>
  </si>
  <si>
    <t>P1</t>
  </si>
  <si>
    <t>P2</t>
  </si>
  <si>
    <t>P3</t>
  </si>
  <si>
    <t>P4</t>
  </si>
  <si>
    <t>P5</t>
  </si>
  <si>
    <t>P6</t>
  </si>
  <si>
    <t>2.0 TD</t>
  </si>
  <si>
    <t>3.0 TD</t>
  </si>
  <si>
    <t>6.1 TD</t>
  </si>
  <si>
    <t>6.2 TD</t>
  </si>
  <si>
    <t>6.3 TD</t>
  </si>
  <si>
    <t>6.4 TD</t>
  </si>
  <si>
    <t>ATR</t>
  </si>
  <si>
    <t>Tarifa</t>
  </si>
  <si>
    <t>Producto</t>
  </si>
  <si>
    <t>YR</t>
  </si>
  <si>
    <t>Q1</t>
  </si>
  <si>
    <t>Q2</t>
  </si>
  <si>
    <t>Q3</t>
  </si>
  <si>
    <t>Q4</t>
  </si>
  <si>
    <t>Comercializadoras</t>
  </si>
  <si>
    <t>Comercializadora</t>
  </si>
  <si>
    <t>Acciona</t>
  </si>
  <si>
    <t>Cepsa</t>
  </si>
  <si>
    <t>EDP</t>
  </si>
  <si>
    <t>Endesa</t>
  </si>
  <si>
    <t>Iberdrola</t>
  </si>
  <si>
    <t>Naturgy</t>
  </si>
  <si>
    <t>Repsol</t>
  </si>
  <si>
    <t>Shell</t>
  </si>
  <si>
    <t>Nexus</t>
  </si>
  <si>
    <t>Apuntamiento</t>
  </si>
  <si>
    <t>Fórmula</t>
  </si>
  <si>
    <t>Pass through</t>
  </si>
  <si>
    <t>PRECIOh=[(Pool+Ai+Bi)·(1+Perd)+Ci]·(1+Tasa)</t>
  </si>
  <si>
    <t>PRECIOh=(Pool+CMh+RCh+CG)·(1 + Perd)·(1+Tasa)</t>
  </si>
  <si>
    <t>Fórmula estándar</t>
  </si>
  <si>
    <t>PRECIOh=[(PrecioMP+SSAA+PC+ROM+ROS+FNEE1+Fee1+Otros1)·(1+Perd)+FNEE2+Fee2+Otros2 ]·(1+Tasa+Fee3+Otros3 )</t>
  </si>
  <si>
    <t>€/MWh</t>
  </si>
  <si>
    <t>Fee1</t>
  </si>
  <si>
    <t>Otros1</t>
  </si>
  <si>
    <t>%</t>
  </si>
  <si>
    <t>Fee2</t>
  </si>
  <si>
    <t>Otros2</t>
  </si>
  <si>
    <t>Fee3</t>
  </si>
  <si>
    <t>Otros3</t>
  </si>
  <si>
    <t>Fórmula simplificada</t>
  </si>
  <si>
    <t>PRECIOh=[(PrecioMP+A)·B+C ]·D</t>
  </si>
  <si>
    <t xml:space="preserve">A </t>
  </si>
  <si>
    <t>B</t>
  </si>
  <si>
    <t xml:space="preserve">C </t>
  </si>
  <si>
    <t>D</t>
  </si>
  <si>
    <t>Pass pool</t>
  </si>
  <si>
    <t>PRECIOh=Pool·Ki+Qi</t>
  </si>
  <si>
    <t>C</t>
  </si>
  <si>
    <t>Precio fijo</t>
  </si>
  <si>
    <t>PRECIOh=C</t>
  </si>
  <si>
    <t>C incluye ATR?</t>
  </si>
  <si>
    <t>Sí</t>
  </si>
  <si>
    <t>Datos del cliente</t>
  </si>
  <si>
    <t>Cliente</t>
  </si>
  <si>
    <t>CUPS</t>
  </si>
  <si>
    <t>Consumo [kWh]</t>
  </si>
  <si>
    <t>Cobertura 1</t>
  </si>
  <si>
    <t>Precio [€/MWh]</t>
  </si>
  <si>
    <t>Cobertura 2</t>
  </si>
  <si>
    <t>Cobertura 3</t>
  </si>
  <si>
    <t>Cobertura 4</t>
  </si>
  <si>
    <t>Cobertura 5</t>
  </si>
  <si>
    <t>Cobertura 6</t>
  </si>
  <si>
    <t>Fecha</t>
  </si>
  <si>
    <t>Año</t>
  </si>
  <si>
    <t>Contratos vigentes</t>
  </si>
  <si>
    <t>Potencia contratada</t>
  </si>
  <si>
    <t>Término de potencia del peaje/cargo de transporte y distribución [€/kW año]</t>
  </si>
  <si>
    <t>Estimación % de excesos</t>
  </si>
  <si>
    <t>Total 2</t>
  </si>
  <si>
    <t>Total 1</t>
  </si>
  <si>
    <t>Coberturas</t>
  </si>
  <si>
    <t>Cobertura 7</t>
  </si>
  <si>
    <t>Cobertura 8</t>
  </si>
  <si>
    <t>Cobertura 9</t>
  </si>
  <si>
    <t>Cobertura 10</t>
  </si>
  <si>
    <t>Cobertura 11</t>
  </si>
  <si>
    <t>Cobertura 12</t>
  </si>
  <si>
    <t>Cobertura 13</t>
  </si>
  <si>
    <t>Cobertura 14</t>
  </si>
  <si>
    <t>Cobertura 15</t>
  </si>
  <si>
    <t>Cobertura 16</t>
  </si>
  <si>
    <t>Cobertura 17</t>
  </si>
  <si>
    <t>Cobertura 18</t>
  </si>
  <si>
    <t>Cobertura 19</t>
  </si>
  <si>
    <t>Cobertura 20</t>
  </si>
  <si>
    <t>Cobertura 21</t>
  </si>
  <si>
    <t>Cobertura 22</t>
  </si>
  <si>
    <t>Cobertura 23</t>
  </si>
  <si>
    <t>Cobertura 24</t>
  </si>
  <si>
    <t>Cobertura 25</t>
  </si>
  <si>
    <t>Cobertura 26</t>
  </si>
  <si>
    <t>Cobertura 27</t>
  </si>
  <si>
    <t>Cobertura 28</t>
  </si>
  <si>
    <t>Cobertura 29</t>
  </si>
  <si>
    <t>Cobertura 30</t>
  </si>
  <si>
    <t>Cobertura 31</t>
  </si>
  <si>
    <t>Cobertura 32</t>
  </si>
  <si>
    <t>Cobertura 33</t>
  </si>
  <si>
    <t>Cobertura 34</t>
  </si>
  <si>
    <t>Cobertura 35</t>
  </si>
  <si>
    <t>Cobertura 36</t>
  </si>
  <si>
    <t>Cobertura 37</t>
  </si>
  <si>
    <t>Cobertura 38</t>
  </si>
  <si>
    <t>Cobertura 39</t>
  </si>
  <si>
    <t>Cobertura 40</t>
  </si>
  <si>
    <t>Cobertura 41</t>
  </si>
  <si>
    <t>Cobertura 42</t>
  </si>
  <si>
    <t>Cobertura 43</t>
  </si>
  <si>
    <t>Cobertura 44</t>
  </si>
  <si>
    <t>Cobertura 45</t>
  </si>
  <si>
    <t>Cobertura 46</t>
  </si>
  <si>
    <t>Cobertura 47</t>
  </si>
  <si>
    <t>M2</t>
  </si>
  <si>
    <t>M3</t>
  </si>
  <si>
    <t>Tipo</t>
  </si>
  <si>
    <t>Carga Base [MW]</t>
  </si>
  <si>
    <t>Porcentaje [%]</t>
  </si>
  <si>
    <t>M1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</si>
  <si>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</si>
  <si>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</si>
  <si>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</si>
  <si>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</si>
  <si>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</si>
  <si>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</si>
  <si>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</si>
  <si>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</si>
  <si>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</si>
  <si>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Apuntamientos Fijos Productos Futuros</t>
  </si>
  <si>
    <t>Apuntamiento Futuro fijo</t>
  </si>
  <si>
    <t>ES0021000011067252AV</t>
  </si>
  <si>
    <t>ES0021000016029493JP</t>
  </si>
  <si>
    <t>ES0031408627839001PG</t>
  </si>
  <si>
    <t>ES0173000000400220DS</t>
  </si>
  <si>
    <t>Tarifas 6.1 TD</t>
  </si>
  <si>
    <t>Cantidad [MWh]</t>
  </si>
  <si>
    <t>Modalidad</t>
  </si>
  <si>
    <t>Rango superior</t>
  </si>
  <si>
    <t>Rango inferior</t>
  </si>
  <si>
    <t>Index</t>
  </si>
  <si>
    <t>Kem One</t>
  </si>
  <si>
    <t>Fecha inicio</t>
  </si>
  <si>
    <t>Fecha fin</t>
  </si>
  <si>
    <t>tramo</t>
  </si>
  <si>
    <t>start_date</t>
  </si>
  <si>
    <t>end_date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</si>
</sst>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0.000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Montserrat"/>
    </font>
    <font>
      <b/>
      <sz val="10"/>
      <color theme="0"/>
      <name val="Montserrat"/>
    </font>
    <font>
      <sz val="10"/>
      <color rgb="FFFF0000"/>
      <name val="Montserrat"/>
    </font>
    <font>
      <b/>
      <sz val="10"/>
      <color theme="1"/>
      <name val="Montserrat"/>
    </font>
    <font>
      <sz val="10"/>
      <color rgb="FFC00000"/>
      <name val="Montserrat"/>
    </font>
    <font>
      <sz val="11"/>
      <color theme="1"/>
      <name val="Montserrat"/>
    </font>
    <font>
      <b/>
      <sz val="11"/>
      <color theme="0"/>
      <name val="Montserrat"/>
    </font>
    <font>
      <b/>
      <sz val="11"/>
      <color theme="1"/>
      <name val="Montserrat"/>
    </font>
    <font>
      <b/>
      <sz val="10"/>
      <color rgb="FFFFFFFF"/>
      <name val="Montserrat"/>
    </font>
    <font>
      <sz val="10"/>
      <color rgb="FF000000"/>
      <name val="Montserrat"/>
    </font>
    <font>
      <u/>
      <sz val="10"/>
      <color theme="1"/>
      <name val="Montserrat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14AFAB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14AFAB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22">
    <border>
      <left/>
      <right/>
      <top/>
      <bottom/>
      <diagonal/>
    </border>
    <border>
      <left style="thin">
        <color rgb="FF14AFAB"/>
      </left>
      <right style="thin">
        <color rgb="FF14AFAB"/>
      </right>
      <top style="thin">
        <color rgb="FF14AFAB"/>
      </top>
      <bottom style="thin">
        <color rgb="FF14AFAB"/>
      </bottom>
      <diagonal/>
    </border>
    <border>
      <left style="medium">
        <color rgb="FF14AFAB"/>
      </left>
      <right style="thin">
        <color rgb="FF14AFAB"/>
      </right>
      <top style="medium">
        <color rgb="FF14AFAB"/>
      </top>
      <bottom style="thin">
        <color rgb="FF14AFAB"/>
      </bottom>
      <diagonal/>
    </border>
    <border>
      <left style="thin">
        <color rgb="FF14AFAB"/>
      </left>
      <right style="thin">
        <color rgb="FF14AFAB"/>
      </right>
      <top style="medium">
        <color rgb="FF14AFAB"/>
      </top>
      <bottom style="thin">
        <color rgb="FF14AFAB"/>
      </bottom>
      <diagonal/>
    </border>
    <border>
      <left style="thin">
        <color rgb="FF14AFAB"/>
      </left>
      <right style="medium">
        <color rgb="FF14AFAB"/>
      </right>
      <top style="medium">
        <color rgb="FF14AFAB"/>
      </top>
      <bottom style="thin">
        <color rgb="FF14AFAB"/>
      </bottom>
      <diagonal/>
    </border>
    <border>
      <left style="medium">
        <color rgb="FF14AFAB"/>
      </left>
      <right style="thin">
        <color rgb="FF14AFAB"/>
      </right>
      <top style="thin">
        <color rgb="FF14AFAB"/>
      </top>
      <bottom style="medium">
        <color rgb="FF14AFAB"/>
      </bottom>
      <diagonal/>
    </border>
    <border>
      <left style="thin">
        <color rgb="FF14AFAB"/>
      </left>
      <right style="thin">
        <color rgb="FF14AFAB"/>
      </right>
      <top style="thin">
        <color rgb="FF14AFAB"/>
      </top>
      <bottom style="medium">
        <color rgb="FF14AFAB"/>
      </bottom>
      <diagonal/>
    </border>
    <border>
      <left style="thin">
        <color rgb="FF14AFAB"/>
      </left>
      <right style="medium">
        <color rgb="FF14AFAB"/>
      </right>
      <top style="thin">
        <color rgb="FF14AFAB"/>
      </top>
      <bottom style="medium">
        <color rgb="FF14AFAB"/>
      </bottom>
      <diagonal/>
    </border>
    <border>
      <left style="medium">
        <color rgb="FF14AFAB"/>
      </left>
      <right style="medium">
        <color rgb="FF14AFAB"/>
      </right>
      <top style="medium">
        <color rgb="FF14AFAB"/>
      </top>
      <bottom style="thin">
        <color rgb="FF14AFAB"/>
      </bottom>
      <diagonal/>
    </border>
    <border>
      <left style="medium">
        <color rgb="FF14AFAB"/>
      </left>
      <right style="medium">
        <color rgb="FF14AFAB"/>
      </right>
      <top style="thin">
        <color rgb="FF14AFAB"/>
      </top>
      <bottom style="thin">
        <color rgb="FF14AFAB"/>
      </bottom>
      <diagonal/>
    </border>
    <border>
      <left style="medium">
        <color rgb="FF14AFAB"/>
      </left>
      <right style="thin">
        <color rgb="FF14AFAB"/>
      </right>
      <top style="thin">
        <color rgb="FF14AFAB"/>
      </top>
      <bottom style="thin">
        <color rgb="FF14AFAB"/>
      </bottom>
      <diagonal/>
    </border>
    <border>
      <left style="thin">
        <color rgb="FF14AFAB"/>
      </left>
      <right style="medium">
        <color rgb="FF14AFAB"/>
      </right>
      <top style="thin">
        <color rgb="FF14AFAB"/>
      </top>
      <bottom style="thin">
        <color rgb="FF14AFAB"/>
      </bottom>
      <diagonal/>
    </border>
    <border>
      <left style="medium">
        <color rgb="FF14AFAB"/>
      </left>
      <right style="thin">
        <color rgb="FF14AFAB"/>
      </right>
      <top style="thin">
        <color rgb="FF14AFAB"/>
      </top>
      <bottom/>
      <diagonal/>
    </border>
    <border>
      <left style="thin">
        <color rgb="FF14AFAB"/>
      </left>
      <right style="thin">
        <color rgb="FF14AFAB"/>
      </right>
      <top style="thin">
        <color rgb="FF14AFAB"/>
      </top>
      <bottom/>
      <diagonal/>
    </border>
    <border>
      <left style="thin">
        <color rgb="FF14AFAB"/>
      </left>
      <right style="medium">
        <color rgb="FF14AFAB"/>
      </right>
      <top style="thin">
        <color rgb="FF14AFAB"/>
      </top>
      <bottom/>
      <diagonal/>
    </border>
    <border>
      <left style="medium">
        <color rgb="FF14AFAB"/>
      </left>
      <right/>
      <top style="thin">
        <color rgb="FF14AFAB"/>
      </top>
      <bottom style="thin">
        <color rgb="FF14AFAB"/>
      </bottom>
      <diagonal/>
    </border>
    <border>
      <left style="thin">
        <color rgb="FF14AFAB"/>
      </left>
      <right style="thin">
        <color rgb="FF14AFAB"/>
      </right>
      <top style="medium">
        <color rgb="FF14AFAB"/>
      </top>
      <bottom/>
      <diagonal/>
    </border>
    <border>
      <left style="thin">
        <color rgb="FF14AFAB"/>
      </left>
      <right style="thin">
        <color rgb="FF14AFAB"/>
      </right>
      <top/>
      <bottom/>
      <diagonal/>
    </border>
    <border>
      <left style="medium">
        <color rgb="FF14AFAB"/>
      </left>
      <right/>
      <top style="thin">
        <color rgb="FF14AFAB"/>
      </top>
      <bottom style="medium">
        <color rgb="FF14AFAB"/>
      </bottom>
      <diagonal/>
    </border>
    <border>
      <left style="medium">
        <color rgb="FF14AFAB"/>
      </left>
      <right/>
      <top/>
      <bottom style="thin">
        <color rgb="FF14AFAB"/>
      </bottom>
      <diagonal/>
    </border>
    <border>
      <left/>
      <right/>
      <top style="medium">
        <color rgb="FF14AFAB"/>
      </top>
      <bottom/>
      <diagonal/>
    </border>
    <border>
      <left/>
      <right/>
      <top/>
      <bottom style="thin">
        <color rgb="FF14AFAB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3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165" fontId="1" fillId="0" borderId="0" applyFont="0" applyFill="0" applyBorder="0" applyAlignment="0" applyProtection="0"/>
  </cellStyleXfs>
  <cellXfs count="116">
    <xf numFmtId="0" fontId="0" fillId="0" borderId="0" xfId="0"/>
    <xf numFmtId="0" fontId="5" fillId="0" borderId="0" xfId="0" applyFont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9" fontId="5" fillId="2" borderId="1" xfId="1" applyFont="1" applyFill="1" applyBorder="1" applyAlignment="1">
      <alignment horizontal="center" vertical="center"/>
    </xf>
    <xf numFmtId="9" fontId="5" fillId="2" borderId="11" xfId="1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10" xfId="0" applyFont="1" applyBorder="1" applyAlignment="1">
      <alignment vertical="center"/>
    </xf>
    <xf numFmtId="0" fontId="5" fillId="0" borderId="6" xfId="0" applyFont="1" applyBorder="1" applyAlignment="1">
      <alignment horizontal="center" vertical="center"/>
    </xf>
    <xf numFmtId="0" fontId="5" fillId="2" borderId="9" xfId="0" applyFont="1" applyFill="1" applyBorder="1" applyAlignment="1">
      <alignment vertical="center"/>
    </xf>
    <xf numFmtId="0" fontId="5" fillId="0" borderId="7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10" xfId="0" applyFont="1" applyBorder="1" applyAlignment="1">
      <alignment vertical="center"/>
    </xf>
    <xf numFmtId="9" fontId="5" fillId="0" borderId="1" xfId="1" applyFont="1" applyBorder="1" applyAlignment="1">
      <alignment horizontal="center" vertical="center"/>
    </xf>
    <xf numFmtId="9" fontId="5" fillId="0" borderId="11" xfId="1" applyFont="1" applyBorder="1" applyAlignment="1">
      <alignment horizontal="center" vertical="center"/>
    </xf>
    <xf numFmtId="3" fontId="5" fillId="2" borderId="1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vertical="center"/>
    </xf>
    <xf numFmtId="0" fontId="5" fillId="0" borderId="12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5" fillId="0" borderId="11" xfId="0" applyNumberFormat="1" applyFont="1" applyBorder="1" applyAlignment="1">
      <alignment horizontal="center" vertical="center"/>
    </xf>
    <xf numFmtId="2" fontId="5" fillId="0" borderId="6" xfId="0" applyNumberFormat="1" applyFont="1" applyBorder="1" applyAlignment="1">
      <alignment horizontal="center" vertical="center"/>
    </xf>
    <xf numFmtId="2" fontId="5" fillId="0" borderId="7" xfId="0" applyNumberFormat="1" applyFont="1" applyBorder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4" fontId="10" fillId="2" borderId="10" xfId="0" applyNumberFormat="1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9" fontId="10" fillId="2" borderId="6" xfId="1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5" borderId="18" xfId="0" applyFont="1" applyFill="1" applyBorder="1" applyAlignment="1">
      <alignment horizontal="center" vertical="center"/>
    </xf>
    <xf numFmtId="9" fontId="10" fillId="2" borderId="5" xfId="1" applyFont="1" applyFill="1" applyBorder="1" applyAlignment="1">
      <alignment horizontal="center" vertical="center"/>
    </xf>
    <xf numFmtId="9" fontId="10" fillId="2" borderId="7" xfId="1" applyFont="1" applyFill="1" applyBorder="1" applyAlignment="1">
      <alignment horizontal="center" vertical="center"/>
    </xf>
    <xf numFmtId="9" fontId="10" fillId="0" borderId="0" xfId="1" applyFont="1" applyAlignment="1">
      <alignment horizontal="center" vertical="center"/>
    </xf>
    <xf numFmtId="0" fontId="14" fillId="0" borderId="10" xfId="0" applyFont="1" applyBorder="1" applyAlignment="1">
      <alignment vertical="center"/>
    </xf>
    <xf numFmtId="0" fontId="14" fillId="7" borderId="1" xfId="0" applyFont="1" applyFill="1" applyBorder="1" applyAlignment="1">
      <alignment horizontal="center" vertical="center"/>
    </xf>
    <xf numFmtId="0" fontId="14" fillId="7" borderId="11" xfId="0" applyFont="1" applyFill="1" applyBorder="1" applyAlignment="1">
      <alignment horizontal="center" vertical="center"/>
    </xf>
    <xf numFmtId="9" fontId="5" fillId="4" borderId="1" xfId="1" applyFont="1" applyFill="1" applyBorder="1" applyAlignment="1">
      <alignment horizontal="center" vertical="center"/>
    </xf>
    <xf numFmtId="9" fontId="5" fillId="4" borderId="11" xfId="1" applyFont="1" applyFill="1" applyBorder="1" applyAlignment="1">
      <alignment horizontal="center" vertical="center"/>
    </xf>
    <xf numFmtId="2" fontId="5" fillId="4" borderId="1" xfId="1" applyNumberFormat="1" applyFont="1" applyFill="1" applyBorder="1" applyAlignment="1">
      <alignment horizontal="center" vertical="center"/>
    </xf>
    <xf numFmtId="2" fontId="5" fillId="4" borderId="11" xfId="1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5" fillId="2" borderId="11" xfId="0" applyNumberFormat="1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2" fontId="5" fillId="0" borderId="13" xfId="0" applyNumberFormat="1" applyFont="1" applyBorder="1" applyAlignment="1">
      <alignment horizontal="center" vertical="center"/>
    </xf>
    <xf numFmtId="2" fontId="5" fillId="0" borderId="14" xfId="0" applyNumberFormat="1" applyFont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0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9" fontId="5" fillId="9" borderId="1" xfId="1" applyFont="1" applyFill="1" applyBorder="1" applyAlignment="1">
      <alignment horizontal="center" vertical="center"/>
    </xf>
    <xf numFmtId="9" fontId="5" fillId="9" borderId="11" xfId="1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0" fontId="5" fillId="2" borderId="1" xfId="0" applyNumberFormat="1" applyFont="1" applyFill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2" fontId="15" fillId="0" borderId="14" xfId="0" applyNumberFormat="1" applyFont="1" applyBorder="1" applyAlignment="1">
      <alignment horizontal="center" vertical="center"/>
    </xf>
    <xf numFmtId="14" fontId="14" fillId="7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2" fontId="5" fillId="2" borderId="3" xfId="0" applyNumberFormat="1" applyFont="1" applyFill="1" applyBorder="1" applyAlignment="1">
      <alignment horizontal="center" vertical="center"/>
    </xf>
    <xf numFmtId="2" fontId="5" fillId="2" borderId="4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13" fillId="6" borderId="19" xfId="0" applyFont="1" applyFill="1" applyBorder="1" applyAlignment="1">
      <alignment horizontal="center" vertical="center"/>
    </xf>
    <xf numFmtId="0" fontId="13" fillId="6" borderId="21" xfId="0" applyFont="1" applyFill="1" applyBorder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11" fillId="3" borderId="17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1" fillId="3" borderId="16" xfId="0" applyFont="1" applyFill="1" applyBorder="1" applyAlignment="1">
      <alignment horizontal="center" vertical="center"/>
    </xf>
    <xf numFmtId="0" fontId="11" fillId="3" borderId="3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</cellXfs>
  <cellStyles count="6">
    <cellStyle name="Hyperlink" xfId="4" xr:uid="{999F8A4B-223F-47BF-8DAA-FC0202B1A174}"/>
    <cellStyle name="Millares 2" xfId="5" xr:uid="{C7456DCB-2759-4925-99D9-EA75ABD78C75}"/>
    <cellStyle name="Moneda 2" xfId="3" xr:uid="{56E3F030-6D82-476C-82D8-CD3E50699DA8}"/>
    <cellStyle name="Normal" xfId="0" builtinId="0"/>
    <cellStyle name="Normal 2" xfId="2" xr:uid="{3EBE606B-85D6-4CB8-9252-074CFE87E4D1}"/>
    <cellStyle name="Porcentaje" xfId="1" builtinId="5"/>
  </cellStyles>
  <dxfs count="20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14AFAB"/>
      <color rgb="FFD2E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F28A0-0CA5-460D-8866-A9E0D9CDB580}">
  <sheetPr codeName="Hoja5">
    <tabColor theme="7" tint="0.79998168889431442"/>
  </sheetPr>
  <dimension ref="B1:BL53"/>
  <sheetViews>
    <sheetView showGridLines="0" zoomScale="70" zoomScaleNormal="70" workbookViewId="0">
      <pane xSplit="3" ySplit="2" topLeftCell="P13" activePane="bottomRight" state="frozen"/>
      <selection activeCell="J8" sqref="J8"/>
      <selection pane="topRight" activeCell="J8" sqref="J8"/>
      <selection pane="bottomLeft" activeCell="J8" sqref="J8"/>
      <selection pane="bottomRight" activeCell="T32" sqref="T32"/>
    </sheetView>
  </sheetViews>
  <sheetFormatPr baseColWidth="10" defaultColWidth="11.54296875" defaultRowHeight="15" x14ac:dyDescent="0.35"/>
  <cols>
    <col min="1" max="1" width="2.54296875" style="1" customWidth="1"/>
    <col min="2" max="2" width="19.36328125" style="1" bestFit="1" customWidth="1"/>
    <col min="3" max="3" width="2.54296875" style="1" customWidth="1"/>
    <col min="4" max="4" width="9.36328125" style="1" bestFit="1" customWidth="1"/>
    <col min="5" max="5" width="22" style="1" bestFit="1" customWidth="1"/>
    <col min="6" max="11" width="16.6328125" style="1" customWidth="1"/>
    <col min="12" max="12" width="15.90625" style="1" customWidth="1"/>
    <col min="13" max="13" width="9.36328125" style="1" bestFit="1" customWidth="1"/>
    <col min="14" max="14" width="22" style="1" bestFit="1" customWidth="1"/>
    <col min="15" max="21" width="16.6328125" style="1" customWidth="1"/>
    <col min="22" max="22" width="9.36328125" style="1" bestFit="1" customWidth="1"/>
    <col min="23" max="23" width="22" style="1" bestFit="1" customWidth="1"/>
    <col min="24" max="30" width="16.6328125" style="1" customWidth="1"/>
    <col min="31" max="31" width="9.36328125" style="1" bestFit="1" customWidth="1"/>
    <col min="32" max="32" width="22" style="1" bestFit="1" customWidth="1"/>
    <col min="33" max="39" width="16.6328125" style="1" customWidth="1"/>
    <col min="40" max="40" width="9.36328125" style="1" bestFit="1" customWidth="1"/>
    <col min="41" max="41" width="22" style="1" bestFit="1" customWidth="1"/>
    <col min="42" max="48" width="16.6328125" style="1" customWidth="1"/>
    <col min="49" max="49" width="9.36328125" style="1" bestFit="1" customWidth="1"/>
    <col min="50" max="50" width="22" style="1" bestFit="1" customWidth="1"/>
    <col min="51" max="57" width="16.6328125" style="1" customWidth="1"/>
    <col min="58" max="58" width="9.36328125" style="1" bestFit="1" customWidth="1"/>
    <col min="59" max="16384" width="11.54296875" style="1"/>
  </cols>
  <sheetData>
    <row r="1" spans="2:64" ht="15.5" thickBot="1" x14ac:dyDescent="0.4"/>
    <row r="2" spans="2:64" x14ac:dyDescent="0.35">
      <c r="B2" s="36" t="s">
        <v>21</v>
      </c>
      <c r="E2" s="2" t="s">
        <v>22</v>
      </c>
      <c r="F2" s="88" t="s">
        <v>28</v>
      </c>
      <c r="G2" s="88"/>
      <c r="H2" s="88"/>
      <c r="I2" s="88"/>
      <c r="J2" s="88"/>
      <c r="K2" s="88"/>
      <c r="L2" s="89"/>
      <c r="N2" s="2" t="s">
        <v>22</v>
      </c>
      <c r="O2" s="88" t="s">
        <v>78</v>
      </c>
      <c r="P2" s="88"/>
      <c r="Q2" s="88"/>
      <c r="R2" s="88"/>
      <c r="S2" s="88"/>
      <c r="T2" s="88"/>
      <c r="U2" s="89"/>
      <c r="W2" s="2" t="s">
        <v>22</v>
      </c>
      <c r="X2" s="88" t="s">
        <v>77</v>
      </c>
      <c r="Y2" s="88"/>
      <c r="Z2" s="88"/>
      <c r="AA2" s="88"/>
      <c r="AB2" s="88"/>
      <c r="AC2" s="88"/>
      <c r="AD2" s="89"/>
      <c r="AF2" s="2" t="s">
        <v>22</v>
      </c>
      <c r="AG2" s="88"/>
      <c r="AH2" s="88"/>
      <c r="AI2" s="88"/>
      <c r="AJ2" s="88"/>
      <c r="AK2" s="88"/>
      <c r="AL2" s="88"/>
      <c r="AM2" s="89"/>
      <c r="AO2" s="2" t="s">
        <v>22</v>
      </c>
      <c r="AP2" s="88"/>
      <c r="AQ2" s="88"/>
      <c r="AR2" s="88"/>
      <c r="AS2" s="88"/>
      <c r="AT2" s="88"/>
      <c r="AU2" s="88"/>
      <c r="AV2" s="89"/>
      <c r="AX2" s="2" t="s">
        <v>22</v>
      </c>
      <c r="AY2" s="88"/>
      <c r="AZ2" s="88"/>
      <c r="BA2" s="88"/>
      <c r="BB2" s="88"/>
      <c r="BC2" s="88"/>
      <c r="BD2" s="88"/>
      <c r="BE2" s="89"/>
    </row>
    <row r="3" spans="2:64" ht="15.5" thickBot="1" x14ac:dyDescent="0.4">
      <c r="B3" s="15" t="s">
        <v>23</v>
      </c>
      <c r="E3" s="25" t="s">
        <v>14</v>
      </c>
      <c r="F3" s="90" t="str">
        <f>'Ficha Cliente'!$C$5</f>
        <v>6.1 TD</v>
      </c>
      <c r="G3" s="90"/>
      <c r="H3" s="90"/>
      <c r="I3" s="90"/>
      <c r="J3" s="90"/>
      <c r="K3" s="90"/>
      <c r="L3" s="91"/>
      <c r="N3" s="25" t="s">
        <v>14</v>
      </c>
      <c r="O3" s="90" t="str">
        <f>'Ficha Cliente'!$C$5</f>
        <v>6.1 TD</v>
      </c>
      <c r="P3" s="90"/>
      <c r="Q3" s="90"/>
      <c r="R3" s="90"/>
      <c r="S3" s="90"/>
      <c r="T3" s="90"/>
      <c r="U3" s="91"/>
      <c r="W3" s="25" t="s">
        <v>14</v>
      </c>
      <c r="X3" s="90" t="s">
        <v>10</v>
      </c>
      <c r="Y3" s="90"/>
      <c r="Z3" s="90"/>
      <c r="AA3" s="90"/>
      <c r="AB3" s="90"/>
      <c r="AC3" s="90"/>
      <c r="AD3" s="91"/>
      <c r="AF3" s="25" t="s">
        <v>14</v>
      </c>
      <c r="AG3" s="90" t="str">
        <f>'Ficha Cliente'!$C$5</f>
        <v>6.1 TD</v>
      </c>
      <c r="AH3" s="90"/>
      <c r="AI3" s="90"/>
      <c r="AJ3" s="90"/>
      <c r="AK3" s="90"/>
      <c r="AL3" s="90"/>
      <c r="AM3" s="91"/>
      <c r="AO3" s="25" t="s">
        <v>14</v>
      </c>
      <c r="AP3" s="90" t="str">
        <f>'Ficha Cliente'!$C$5</f>
        <v>6.1 TD</v>
      </c>
      <c r="AQ3" s="90"/>
      <c r="AR3" s="90"/>
      <c r="AS3" s="90"/>
      <c r="AT3" s="90"/>
      <c r="AU3" s="90"/>
      <c r="AV3" s="91"/>
      <c r="AX3" s="25" t="s">
        <v>14</v>
      </c>
      <c r="AY3" s="90" t="str">
        <f>'Ficha Cliente'!$C$5</f>
        <v>6.1 TD</v>
      </c>
      <c r="AZ3" s="90"/>
      <c r="BA3" s="90"/>
      <c r="BB3" s="90"/>
      <c r="BC3" s="90"/>
      <c r="BD3" s="90"/>
      <c r="BE3" s="91"/>
    </row>
    <row r="4" spans="2:64" ht="15.5" thickBot="1" x14ac:dyDescent="0.4">
      <c r="B4" s="15" t="s">
        <v>24</v>
      </c>
    </row>
    <row r="5" spans="2:64" x14ac:dyDescent="0.35">
      <c r="B5" s="15" t="s">
        <v>25</v>
      </c>
      <c r="E5" s="92" t="s">
        <v>136</v>
      </c>
      <c r="F5" s="93"/>
      <c r="G5" s="93"/>
      <c r="H5" s="93"/>
      <c r="I5" s="93"/>
      <c r="J5" s="93"/>
      <c r="K5" s="93"/>
      <c r="L5" s="94"/>
      <c r="N5" s="92" t="s">
        <v>136</v>
      </c>
      <c r="O5" s="93"/>
      <c r="P5" s="93"/>
      <c r="Q5" s="93"/>
      <c r="R5" s="93"/>
      <c r="S5" s="93"/>
      <c r="T5" s="93"/>
      <c r="U5" s="94"/>
      <c r="W5" s="92" t="s">
        <v>136</v>
      </c>
      <c r="X5" s="93"/>
      <c r="Y5" s="93"/>
      <c r="Z5" s="93"/>
      <c r="AA5" s="93"/>
      <c r="AB5" s="93"/>
      <c r="AC5" s="93"/>
      <c r="AD5" s="94"/>
      <c r="AF5" s="92" t="s">
        <v>136</v>
      </c>
      <c r="AG5" s="93"/>
      <c r="AH5" s="93"/>
      <c r="AI5" s="93"/>
      <c r="AJ5" s="93"/>
      <c r="AK5" s="93"/>
      <c r="AL5" s="93"/>
      <c r="AM5" s="94"/>
      <c r="AO5" s="92" t="s">
        <v>136</v>
      </c>
      <c r="AP5" s="93"/>
      <c r="AQ5" s="93"/>
      <c r="AR5" s="93"/>
      <c r="AS5" s="93"/>
      <c r="AT5" s="93"/>
      <c r="AU5" s="93"/>
      <c r="AV5" s="94"/>
      <c r="AX5" s="92" t="s">
        <v>136</v>
      </c>
      <c r="AY5" s="93"/>
      <c r="AZ5" s="93"/>
      <c r="BA5" s="93"/>
      <c r="BB5" s="93"/>
      <c r="BC5" s="93"/>
      <c r="BD5" s="93"/>
      <c r="BE5" s="94"/>
    </row>
    <row r="6" spans="2:64" x14ac:dyDescent="0.35">
      <c r="B6" s="15" t="s">
        <v>26</v>
      </c>
      <c r="E6" s="4"/>
      <c r="F6" s="5" t="s">
        <v>0</v>
      </c>
      <c r="G6" s="5" t="s">
        <v>1</v>
      </c>
      <c r="H6" s="5" t="s">
        <v>2</v>
      </c>
      <c r="I6" s="5" t="s">
        <v>3</v>
      </c>
      <c r="J6" s="5" t="s">
        <v>4</v>
      </c>
      <c r="K6" s="5" t="s">
        <v>5</v>
      </c>
      <c r="L6" s="6" t="s">
        <v>6</v>
      </c>
      <c r="N6" s="4"/>
      <c r="O6" s="5" t="s">
        <v>0</v>
      </c>
      <c r="P6" s="5" t="s">
        <v>1</v>
      </c>
      <c r="Q6" s="5" t="s">
        <v>2</v>
      </c>
      <c r="R6" s="5" t="s">
        <v>3</v>
      </c>
      <c r="S6" s="5" t="s">
        <v>4</v>
      </c>
      <c r="T6" s="5" t="s">
        <v>5</v>
      </c>
      <c r="U6" s="6" t="s">
        <v>6</v>
      </c>
      <c r="W6" s="4"/>
      <c r="X6" s="5" t="s">
        <v>0</v>
      </c>
      <c r="Y6" s="5" t="s">
        <v>1</v>
      </c>
      <c r="Z6" s="5" t="s">
        <v>2</v>
      </c>
      <c r="AA6" s="5" t="s">
        <v>3</v>
      </c>
      <c r="AB6" s="5" t="s">
        <v>4</v>
      </c>
      <c r="AC6" s="5" t="s">
        <v>5</v>
      </c>
      <c r="AD6" s="6" t="s">
        <v>6</v>
      </c>
      <c r="AF6" s="4"/>
      <c r="AG6" s="5" t="s">
        <v>0</v>
      </c>
      <c r="AH6" s="5" t="s">
        <v>1</v>
      </c>
      <c r="AI6" s="5" t="s">
        <v>2</v>
      </c>
      <c r="AJ6" s="5" t="s">
        <v>3</v>
      </c>
      <c r="AK6" s="5" t="s">
        <v>4</v>
      </c>
      <c r="AL6" s="5" t="s">
        <v>5</v>
      </c>
      <c r="AM6" s="6" t="s">
        <v>6</v>
      </c>
      <c r="AO6" s="4"/>
      <c r="AP6" s="5" t="s">
        <v>0</v>
      </c>
      <c r="AQ6" s="5" t="s">
        <v>1</v>
      </c>
      <c r="AR6" s="5" t="s">
        <v>2</v>
      </c>
      <c r="AS6" s="5" t="s">
        <v>3</v>
      </c>
      <c r="AT6" s="5" t="s">
        <v>4</v>
      </c>
      <c r="AU6" s="5" t="s">
        <v>5</v>
      </c>
      <c r="AV6" s="6" t="s">
        <v>6</v>
      </c>
      <c r="AX6" s="4"/>
      <c r="AY6" s="5" t="s">
        <v>0</v>
      </c>
      <c r="AZ6" s="5" t="s">
        <v>1</v>
      </c>
      <c r="BA6" s="5" t="s">
        <v>2</v>
      </c>
      <c r="BB6" s="5" t="s">
        <v>3</v>
      </c>
      <c r="BC6" s="5" t="s">
        <v>4</v>
      </c>
      <c r="BD6" s="5" t="s">
        <v>5</v>
      </c>
      <c r="BE6" s="6" t="s">
        <v>6</v>
      </c>
    </row>
    <row r="7" spans="2:64" x14ac:dyDescent="0.35">
      <c r="B7" s="15" t="s">
        <v>27</v>
      </c>
      <c r="D7" s="34"/>
      <c r="E7" s="95" t="s">
        <v>15</v>
      </c>
      <c r="F7" s="5" t="s">
        <v>16</v>
      </c>
      <c r="G7" s="26">
        <v>1</v>
      </c>
      <c r="H7" s="26">
        <v>1</v>
      </c>
      <c r="I7" s="26">
        <v>1</v>
      </c>
      <c r="J7" s="26">
        <v>1</v>
      </c>
      <c r="K7" s="26">
        <v>1</v>
      </c>
      <c r="L7" s="26">
        <v>1</v>
      </c>
      <c r="M7" s="34" t="str">
        <f>IF(SUM(G7:L7)=0,"OJO","")</f>
        <v/>
      </c>
      <c r="N7" s="95" t="s">
        <v>15</v>
      </c>
      <c r="O7" s="5" t="s">
        <v>16</v>
      </c>
      <c r="P7" s="26">
        <v>1.0038</v>
      </c>
      <c r="Q7" s="26">
        <v>0.89359999999999995</v>
      </c>
      <c r="R7" s="26">
        <v>1.0767</v>
      </c>
      <c r="S7" s="26">
        <v>1.2825</v>
      </c>
      <c r="T7" s="26">
        <v>1.2715000000000001</v>
      </c>
      <c r="U7" s="27">
        <v>0.9677</v>
      </c>
      <c r="V7" s="34" t="str">
        <f>IF(SUM(P7:U7)=0,"OJO","")</f>
        <v/>
      </c>
      <c r="W7" s="95" t="s">
        <v>15</v>
      </c>
      <c r="X7" s="5" t="s">
        <v>16</v>
      </c>
      <c r="Y7" s="26">
        <v>1.0038</v>
      </c>
      <c r="Z7" s="26">
        <v>0.89359999999999995</v>
      </c>
      <c r="AA7" s="26">
        <v>1.0767</v>
      </c>
      <c r="AB7" s="26">
        <v>1.2825</v>
      </c>
      <c r="AC7" s="26">
        <v>1.2715000000000001</v>
      </c>
      <c r="AD7" s="27">
        <v>0.9677</v>
      </c>
      <c r="AE7" s="34" t="str">
        <f>IF(SUM(Y7:AD7)=0,"OJO","")</f>
        <v/>
      </c>
      <c r="AF7" s="95" t="s">
        <v>15</v>
      </c>
      <c r="AG7" s="5" t="s">
        <v>16</v>
      </c>
      <c r="AH7" s="26">
        <f>IFERROR(AVERAGEIFS(#REF!,#REF!,"="&amp;'Contrato Marco'!$AG$3,#REF!,"="&amp;'Contrato Marco'!$AG7),0)</f>
        <v>0</v>
      </c>
      <c r="AI7" s="26">
        <f>IFERROR(AVERAGEIFS(#REF!,#REF!,"="&amp;'Contrato Marco'!$AG$3,#REF!,"="&amp;'Contrato Marco'!$AG7),0)</f>
        <v>0</v>
      </c>
      <c r="AJ7" s="26">
        <f>IFERROR(AVERAGEIFS(#REF!,#REF!,"="&amp;'Contrato Marco'!$AG$3,#REF!,"="&amp;'Contrato Marco'!$AG7),0)</f>
        <v>0</v>
      </c>
      <c r="AK7" s="26">
        <f>IFERROR(AVERAGEIFS(#REF!,#REF!,"="&amp;'Contrato Marco'!$AG$3,#REF!,"="&amp;'Contrato Marco'!$AG7),0)</f>
        <v>0</v>
      </c>
      <c r="AL7" s="26">
        <f>IFERROR(AVERAGEIFS(#REF!,#REF!,"="&amp;'Contrato Marco'!$AG$3,#REF!,"="&amp;'Contrato Marco'!$AG7),0)</f>
        <v>0</v>
      </c>
      <c r="AM7" s="27">
        <f>IFERROR(AVERAGEIFS(#REF!,#REF!,"="&amp;'Contrato Marco'!$AG$3,#REF!,"="&amp;'Contrato Marco'!$AG7),0)</f>
        <v>0</v>
      </c>
      <c r="AN7" s="34" t="str">
        <f>IF(SUM(AH7:AM7)=0,"OJO","")</f>
        <v>OJO</v>
      </c>
      <c r="AO7" s="95" t="s">
        <v>15</v>
      </c>
      <c r="AP7" s="5" t="s">
        <v>16</v>
      </c>
      <c r="AQ7" s="26">
        <f>IFERROR(AVERAGEIFS(#REF!,#REF!,"="&amp;'Contrato Marco'!$AP$3,#REF!,"="&amp;'Contrato Marco'!$AP7),0)</f>
        <v>0</v>
      </c>
      <c r="AR7" s="26">
        <f>IFERROR(AVERAGEIFS(#REF!,#REF!,"="&amp;'Contrato Marco'!$AP$3,#REF!,"="&amp;'Contrato Marco'!$AP7),0)</f>
        <v>0</v>
      </c>
      <c r="AS7" s="26">
        <f>IFERROR(AVERAGEIFS(#REF!,#REF!,"="&amp;'Contrato Marco'!$AP$3,#REF!,"="&amp;'Contrato Marco'!$AP7),0)</f>
        <v>0</v>
      </c>
      <c r="AT7" s="26">
        <f>IFERROR(AVERAGEIFS(#REF!,#REF!,"="&amp;'Contrato Marco'!$AP$3,#REF!,"="&amp;'Contrato Marco'!$AP7),0)</f>
        <v>0</v>
      </c>
      <c r="AU7" s="26">
        <f>IFERROR(AVERAGEIFS(#REF!,#REF!,"="&amp;'Contrato Marco'!$AP$3,#REF!,"="&amp;'Contrato Marco'!$AP7),0)</f>
        <v>0</v>
      </c>
      <c r="AV7" s="27">
        <f>IFERROR(AVERAGEIFS(#REF!,#REF!,"="&amp;'Contrato Marco'!$AP$3,#REF!,"="&amp;'Contrato Marco'!$AP7),0)</f>
        <v>0</v>
      </c>
      <c r="AW7" s="34" t="str">
        <f>IF(SUM(AQ7:AV7)=0,"OJO","")</f>
        <v>OJO</v>
      </c>
      <c r="AX7" s="95" t="s">
        <v>15</v>
      </c>
      <c r="AY7" s="5" t="s">
        <v>16</v>
      </c>
      <c r="AZ7" s="26">
        <f>IFERROR(AVERAGEIFS(#REF!,#REF!,"="&amp;'Contrato Marco'!$AY$3,#REF!,"="&amp;'Contrato Marco'!$AY7),0)</f>
        <v>0</v>
      </c>
      <c r="BA7" s="26">
        <f>IFERROR(AVERAGEIFS(#REF!,#REF!,"="&amp;'Contrato Marco'!$AY$3,#REF!,"="&amp;'Contrato Marco'!$AY7),0)</f>
        <v>0</v>
      </c>
      <c r="BB7" s="26">
        <f>IFERROR(AVERAGEIFS(#REF!,#REF!,"="&amp;'Contrato Marco'!$AY$3,#REF!,"="&amp;'Contrato Marco'!$AY7),0)</f>
        <v>0</v>
      </c>
      <c r="BC7" s="26">
        <f>IFERROR(AVERAGEIFS(#REF!,#REF!,"="&amp;'Contrato Marco'!$AY$3,#REF!,"="&amp;'Contrato Marco'!$AY7),0)</f>
        <v>0</v>
      </c>
      <c r="BD7" s="26">
        <f>IFERROR(AVERAGEIFS(#REF!,#REF!,"="&amp;'Contrato Marco'!$AY$3,#REF!,"="&amp;'Contrato Marco'!$AY7),0)</f>
        <v>0</v>
      </c>
      <c r="BE7" s="27">
        <f>IFERROR(AVERAGEIFS(#REF!,#REF!,"="&amp;'Contrato Marco'!$AY$3,#REF!,"="&amp;'Contrato Marco'!$AY7),0)</f>
        <v>0</v>
      </c>
      <c r="BF7" s="34" t="str">
        <f>IF(SUM(AZ7:BE7)=0,"OJO","")</f>
        <v>OJO</v>
      </c>
      <c r="BG7" s="33"/>
      <c r="BH7" s="33"/>
      <c r="BI7" s="33"/>
      <c r="BJ7" s="33"/>
      <c r="BK7" s="33"/>
      <c r="BL7" s="33"/>
    </row>
    <row r="8" spans="2:64" x14ac:dyDescent="0.35">
      <c r="B8" s="15" t="s">
        <v>28</v>
      </c>
      <c r="D8" s="34"/>
      <c r="E8" s="95"/>
      <c r="F8" s="5" t="s">
        <v>17</v>
      </c>
      <c r="G8" s="26">
        <v>1</v>
      </c>
      <c r="H8" s="26">
        <v>1</v>
      </c>
      <c r="I8" s="26">
        <v>1</v>
      </c>
      <c r="J8" s="26">
        <v>1</v>
      </c>
      <c r="K8" s="26">
        <v>1</v>
      </c>
      <c r="L8" s="26">
        <v>1</v>
      </c>
      <c r="M8" s="34" t="str">
        <f>IF(SUM(G8:L8)=0,"OJO","")</f>
        <v/>
      </c>
      <c r="N8" s="95"/>
      <c r="O8" s="5" t="s">
        <v>17</v>
      </c>
      <c r="P8" s="26">
        <v>1.3521000000000001</v>
      </c>
      <c r="Q8" s="26">
        <v>1.1174999999999999</v>
      </c>
      <c r="R8" s="26">
        <v>0.88790000000000002</v>
      </c>
      <c r="S8" s="26"/>
      <c r="T8" s="26"/>
      <c r="U8" s="27">
        <v>0.93820000000000003</v>
      </c>
      <c r="V8" s="34" t="str">
        <f>IF(SUM(P8:U8)=0,"OJO","")</f>
        <v/>
      </c>
      <c r="W8" s="95"/>
      <c r="X8" s="5" t="s">
        <v>17</v>
      </c>
      <c r="Y8" s="26">
        <v>1.3521000000000001</v>
      </c>
      <c r="Z8" s="26">
        <v>1.1174999999999999</v>
      </c>
      <c r="AA8" s="26">
        <v>0.88790000000000002</v>
      </c>
      <c r="AB8" s="26"/>
      <c r="AC8" s="26"/>
      <c r="AD8" s="27">
        <v>0.93820000000000003</v>
      </c>
      <c r="AE8" s="34" t="str">
        <f>IF(SUM(Y8:AD8)=0,"OJO","")</f>
        <v/>
      </c>
      <c r="AF8" s="95"/>
      <c r="AG8" s="5" t="s">
        <v>17</v>
      </c>
      <c r="AH8" s="26">
        <f>IFERROR(AVERAGEIFS(#REF!,#REF!,"="&amp;'Contrato Marco'!$AG$3,#REF!,"="&amp;'Contrato Marco'!$AG8),0)</f>
        <v>0</v>
      </c>
      <c r="AI8" s="26">
        <f>IFERROR(AVERAGEIFS(#REF!,#REF!,"="&amp;'Contrato Marco'!$AG$3,#REF!,"="&amp;'Contrato Marco'!$AG8),0)</f>
        <v>0</v>
      </c>
      <c r="AJ8" s="26">
        <f>IFERROR(AVERAGEIFS(#REF!,#REF!,"="&amp;'Contrato Marco'!$AG$3,#REF!,"="&amp;'Contrato Marco'!$AG8),0)</f>
        <v>0</v>
      </c>
      <c r="AK8" s="26">
        <f>IFERROR(AVERAGEIFS(#REF!,#REF!,"="&amp;'Contrato Marco'!$AG$3,#REF!,"="&amp;'Contrato Marco'!$AG8),0)</f>
        <v>0</v>
      </c>
      <c r="AL8" s="26">
        <f>IFERROR(AVERAGEIFS(#REF!,#REF!,"="&amp;'Contrato Marco'!$AG$3,#REF!,"="&amp;'Contrato Marco'!$AG8),0)</f>
        <v>0</v>
      </c>
      <c r="AM8" s="27">
        <f>IFERROR(AVERAGEIFS(#REF!,#REF!,"="&amp;'Contrato Marco'!$AG$3,#REF!,"="&amp;'Contrato Marco'!$AG8),0)</f>
        <v>0</v>
      </c>
      <c r="AN8" s="34" t="str">
        <f>IF(SUM(AH8:AM8)=0,"OJO","")</f>
        <v>OJO</v>
      </c>
      <c r="AO8" s="95"/>
      <c r="AP8" s="5" t="s">
        <v>17</v>
      </c>
      <c r="AQ8" s="26">
        <f>IFERROR(AVERAGEIFS(#REF!,#REF!,"="&amp;'Contrato Marco'!$AP$3,#REF!,"="&amp;'Contrato Marco'!$AP8),0)</f>
        <v>0</v>
      </c>
      <c r="AR8" s="26">
        <f>IFERROR(AVERAGEIFS(#REF!,#REF!,"="&amp;'Contrato Marco'!$AP$3,#REF!,"="&amp;'Contrato Marco'!$AP8),0)</f>
        <v>0</v>
      </c>
      <c r="AS8" s="26">
        <f>IFERROR(AVERAGEIFS(#REF!,#REF!,"="&amp;'Contrato Marco'!$AP$3,#REF!,"="&amp;'Contrato Marco'!$AP8),0)</f>
        <v>0</v>
      </c>
      <c r="AT8" s="26">
        <f>IFERROR(AVERAGEIFS(#REF!,#REF!,"="&amp;'Contrato Marco'!$AP$3,#REF!,"="&amp;'Contrato Marco'!$AP8),0)</f>
        <v>0</v>
      </c>
      <c r="AU8" s="26">
        <f>IFERROR(AVERAGEIFS(#REF!,#REF!,"="&amp;'Contrato Marco'!$AP$3,#REF!,"="&amp;'Contrato Marco'!$AP8),0)</f>
        <v>0</v>
      </c>
      <c r="AV8" s="27">
        <f>IFERROR(AVERAGEIFS(#REF!,#REF!,"="&amp;'Contrato Marco'!$AP$3,#REF!,"="&amp;'Contrato Marco'!$AP8),0)</f>
        <v>0</v>
      </c>
      <c r="AW8" s="34" t="str">
        <f>IF(SUM(AQ8:AV8)=0,"OJO","")</f>
        <v>OJO</v>
      </c>
      <c r="AX8" s="95"/>
      <c r="AY8" s="5" t="s">
        <v>17</v>
      </c>
      <c r="AZ8" s="26">
        <f>IFERROR(AVERAGEIFS(#REF!,#REF!,"="&amp;'Contrato Marco'!$AY$3,#REF!,"="&amp;'Contrato Marco'!$AY8),0)</f>
        <v>0</v>
      </c>
      <c r="BA8" s="26">
        <f>IFERROR(AVERAGEIFS(#REF!,#REF!,"="&amp;'Contrato Marco'!$AY$3,#REF!,"="&amp;'Contrato Marco'!$AY8),0)</f>
        <v>0</v>
      </c>
      <c r="BB8" s="26">
        <f>IFERROR(AVERAGEIFS(#REF!,#REF!,"="&amp;'Contrato Marco'!$AY$3,#REF!,"="&amp;'Contrato Marco'!$AY8),0)</f>
        <v>0</v>
      </c>
      <c r="BC8" s="26">
        <f>IFERROR(AVERAGEIFS(#REF!,#REF!,"="&amp;'Contrato Marco'!$AY$3,#REF!,"="&amp;'Contrato Marco'!$AY8),0)</f>
        <v>0</v>
      </c>
      <c r="BD8" s="26">
        <f>IFERROR(AVERAGEIFS(#REF!,#REF!,"="&amp;'Contrato Marco'!$AY$3,#REF!,"="&amp;'Contrato Marco'!$AY8),0)</f>
        <v>0</v>
      </c>
      <c r="BE8" s="27">
        <f>IFERROR(AVERAGEIFS(#REF!,#REF!,"="&amp;'Contrato Marco'!$AY$3,#REF!,"="&amp;'Contrato Marco'!$AY8),0)</f>
        <v>0</v>
      </c>
      <c r="BF8" s="34" t="str">
        <f>IF(SUM(AZ8:BE8)=0,"OJO","")</f>
        <v>OJO</v>
      </c>
      <c r="BG8" s="33"/>
      <c r="BH8" s="33"/>
      <c r="BI8" s="33"/>
      <c r="BJ8" s="33"/>
      <c r="BK8" s="33"/>
      <c r="BL8" s="33"/>
    </row>
    <row r="9" spans="2:64" x14ac:dyDescent="0.35">
      <c r="B9" s="15" t="s">
        <v>31</v>
      </c>
      <c r="D9" s="34"/>
      <c r="E9" s="95"/>
      <c r="F9" s="5" t="s">
        <v>18</v>
      </c>
      <c r="G9" s="26">
        <v>1</v>
      </c>
      <c r="H9" s="26">
        <v>1</v>
      </c>
      <c r="I9" s="26">
        <v>1</v>
      </c>
      <c r="J9" s="26">
        <v>1</v>
      </c>
      <c r="K9" s="26">
        <v>1</v>
      </c>
      <c r="L9" s="26">
        <v>1</v>
      </c>
      <c r="M9" s="34"/>
      <c r="N9" s="95"/>
      <c r="O9" s="5"/>
      <c r="P9" s="26"/>
      <c r="Q9" s="26"/>
      <c r="R9" s="26">
        <v>0.96970000000000001</v>
      </c>
      <c r="S9" s="26">
        <v>1.0795999999999999</v>
      </c>
      <c r="T9" s="26">
        <v>1.0701000000000001</v>
      </c>
      <c r="U9" s="27">
        <v>0.98329999999999995</v>
      </c>
      <c r="V9" s="34"/>
      <c r="W9" s="95"/>
      <c r="X9" s="5" t="s">
        <v>18</v>
      </c>
      <c r="Y9" s="26"/>
      <c r="Z9" s="26"/>
      <c r="AA9" s="26">
        <v>0.96970000000000001</v>
      </c>
      <c r="AB9" s="26">
        <v>1.0795999999999999</v>
      </c>
      <c r="AC9" s="26">
        <v>1.0701000000000001</v>
      </c>
      <c r="AD9" s="27">
        <v>0.98329999999999995</v>
      </c>
      <c r="AE9" s="34"/>
      <c r="AF9" s="95"/>
      <c r="AG9" s="5"/>
      <c r="AH9" s="26"/>
      <c r="AI9" s="26"/>
      <c r="AJ9" s="26"/>
      <c r="AK9" s="26"/>
      <c r="AL9" s="26"/>
      <c r="AM9" s="27"/>
      <c r="AN9" s="34"/>
      <c r="AO9" s="95"/>
      <c r="AP9" s="5"/>
      <c r="AQ9" s="26"/>
      <c r="AR9" s="26"/>
      <c r="AS9" s="26"/>
      <c r="AT9" s="26"/>
      <c r="AU9" s="26"/>
      <c r="AV9" s="27"/>
      <c r="AW9" s="34"/>
      <c r="AX9" s="95"/>
      <c r="AY9" s="5"/>
      <c r="AZ9" s="26"/>
      <c r="BA9" s="26"/>
      <c r="BB9" s="26"/>
      <c r="BC9" s="26"/>
      <c r="BD9" s="26"/>
      <c r="BE9" s="27"/>
      <c r="BF9" s="34"/>
      <c r="BG9" s="33"/>
      <c r="BH9" s="33"/>
      <c r="BI9" s="33"/>
      <c r="BJ9" s="33"/>
      <c r="BK9" s="33"/>
      <c r="BL9" s="33"/>
    </row>
    <row r="10" spans="2:64" x14ac:dyDescent="0.35">
      <c r="B10" s="15" t="s">
        <v>78</v>
      </c>
      <c r="D10" s="34"/>
      <c r="E10" s="95"/>
      <c r="F10" s="5" t="s">
        <v>19</v>
      </c>
      <c r="G10" s="26">
        <v>1</v>
      </c>
      <c r="H10" s="26">
        <v>1</v>
      </c>
      <c r="I10" s="26">
        <v>1</v>
      </c>
      <c r="J10" s="26">
        <v>1</v>
      </c>
      <c r="K10" s="26">
        <v>1</v>
      </c>
      <c r="L10" s="26">
        <v>1</v>
      </c>
      <c r="M10" s="34"/>
      <c r="N10" s="95"/>
      <c r="O10" s="5"/>
      <c r="P10" s="26">
        <v>1.0384</v>
      </c>
      <c r="Q10" s="26">
        <v>1.0279</v>
      </c>
      <c r="R10" s="26">
        <v>1.1055999999999999</v>
      </c>
      <c r="S10" s="26">
        <v>1.0248999999999999</v>
      </c>
      <c r="T10" s="26"/>
      <c r="U10" s="27">
        <v>0.97599999999999998</v>
      </c>
      <c r="V10" s="34"/>
      <c r="W10" s="95"/>
      <c r="X10" s="5" t="s">
        <v>19</v>
      </c>
      <c r="Y10" s="26">
        <v>1.0384</v>
      </c>
      <c r="Z10" s="26">
        <v>1.0279</v>
      </c>
      <c r="AA10" s="26">
        <v>1.1055999999999999</v>
      </c>
      <c r="AB10" s="26">
        <v>1.0248999999999999</v>
      </c>
      <c r="AC10" s="26"/>
      <c r="AD10" s="27">
        <v>0.97599999999999998</v>
      </c>
      <c r="AE10" s="34"/>
      <c r="AF10" s="95"/>
      <c r="AG10" s="5"/>
      <c r="AH10" s="26"/>
      <c r="AI10" s="26"/>
      <c r="AJ10" s="26"/>
      <c r="AK10" s="26"/>
      <c r="AL10" s="26"/>
      <c r="AM10" s="27"/>
      <c r="AN10" s="34"/>
      <c r="AO10" s="95"/>
      <c r="AP10" s="5"/>
      <c r="AQ10" s="26"/>
      <c r="AR10" s="26"/>
      <c r="AS10" s="26"/>
      <c r="AT10" s="26"/>
      <c r="AU10" s="26"/>
      <c r="AV10" s="27"/>
      <c r="AW10" s="34"/>
      <c r="AX10" s="95"/>
      <c r="AY10" s="5"/>
      <c r="AZ10" s="26"/>
      <c r="BA10" s="26"/>
      <c r="BB10" s="26"/>
      <c r="BC10" s="26"/>
      <c r="BD10" s="26"/>
      <c r="BE10" s="27"/>
      <c r="BF10" s="34"/>
      <c r="BG10" s="33"/>
      <c r="BH10" s="33"/>
      <c r="BI10" s="33"/>
      <c r="BJ10" s="33"/>
      <c r="BK10" s="33"/>
      <c r="BL10" s="33"/>
    </row>
    <row r="11" spans="2:64" x14ac:dyDescent="0.35">
      <c r="B11" s="15" t="s">
        <v>77</v>
      </c>
      <c r="D11" s="34"/>
      <c r="E11" s="95"/>
      <c r="F11" s="5" t="s">
        <v>20</v>
      </c>
      <c r="G11" s="26">
        <v>1</v>
      </c>
      <c r="H11" s="26">
        <v>1</v>
      </c>
      <c r="I11" s="26">
        <v>1</v>
      </c>
      <c r="J11" s="26">
        <v>1</v>
      </c>
      <c r="K11" s="26">
        <v>1</v>
      </c>
      <c r="L11" s="26">
        <v>1</v>
      </c>
      <c r="M11" s="34"/>
      <c r="N11" s="95"/>
      <c r="O11" s="5"/>
      <c r="P11" s="26">
        <v>0.99360000000000004</v>
      </c>
      <c r="Q11" s="26">
        <v>1.0754999999999999</v>
      </c>
      <c r="R11" s="26">
        <v>1.0831</v>
      </c>
      <c r="S11" s="26">
        <v>1.3411999999999999</v>
      </c>
      <c r="T11" s="26">
        <v>1.1627000000000001</v>
      </c>
      <c r="U11" s="27">
        <v>0.96630000000000005</v>
      </c>
      <c r="V11" s="34"/>
      <c r="W11" s="95"/>
      <c r="X11" s="5" t="s">
        <v>20</v>
      </c>
      <c r="Y11" s="26">
        <v>0.99360000000000004</v>
      </c>
      <c r="Z11" s="26">
        <v>1.0754999999999999</v>
      </c>
      <c r="AA11" s="26">
        <v>1.0831</v>
      </c>
      <c r="AB11" s="26">
        <v>1.3411999999999999</v>
      </c>
      <c r="AC11" s="26">
        <v>1.1627000000000001</v>
      </c>
      <c r="AD11" s="27">
        <v>0.96630000000000005</v>
      </c>
      <c r="AE11" s="34"/>
      <c r="AF11" s="95"/>
      <c r="AG11" s="5"/>
      <c r="AH11" s="26"/>
      <c r="AI11" s="26"/>
      <c r="AJ11" s="26"/>
      <c r="AK11" s="26"/>
      <c r="AL11" s="26"/>
      <c r="AM11" s="27"/>
      <c r="AN11" s="34"/>
      <c r="AO11" s="95"/>
      <c r="AP11" s="5"/>
      <c r="AQ11" s="26"/>
      <c r="AR11" s="26"/>
      <c r="AS11" s="26"/>
      <c r="AT11" s="26"/>
      <c r="AU11" s="26"/>
      <c r="AV11" s="27"/>
      <c r="AW11" s="34"/>
      <c r="AX11" s="95"/>
      <c r="AY11" s="5"/>
      <c r="AZ11" s="26"/>
      <c r="BA11" s="26"/>
      <c r="BB11" s="26"/>
      <c r="BC11" s="26"/>
      <c r="BD11" s="26"/>
      <c r="BE11" s="27"/>
      <c r="BF11" s="34"/>
      <c r="BG11" s="33"/>
      <c r="BH11" s="33"/>
      <c r="BI11" s="33"/>
      <c r="BJ11" s="33"/>
      <c r="BK11" s="33"/>
      <c r="BL11" s="33"/>
    </row>
    <row r="12" spans="2:64" x14ac:dyDescent="0.35">
      <c r="B12" s="15" t="s">
        <v>29</v>
      </c>
      <c r="D12" s="34"/>
      <c r="E12" s="95"/>
      <c r="F12" s="5" t="s">
        <v>126</v>
      </c>
      <c r="G12" s="26">
        <v>1</v>
      </c>
      <c r="H12" s="26">
        <v>1</v>
      </c>
      <c r="I12" s="26">
        <v>1</v>
      </c>
      <c r="J12" s="26">
        <v>1</v>
      </c>
      <c r="K12" s="26">
        <v>1</v>
      </c>
      <c r="L12" s="26">
        <v>1</v>
      </c>
      <c r="M12" s="34"/>
      <c r="N12" s="95"/>
      <c r="O12" s="5"/>
      <c r="P12" s="26">
        <v>1.3521000000000001</v>
      </c>
      <c r="Q12" s="26">
        <v>1.1174999999999999</v>
      </c>
      <c r="R12" s="26">
        <v>0.88790000000000002</v>
      </c>
      <c r="S12" s="26"/>
      <c r="T12" s="26"/>
      <c r="U12" s="27">
        <v>0.93820000000000003</v>
      </c>
      <c r="V12" s="34"/>
      <c r="W12" s="95"/>
      <c r="X12" s="5" t="s">
        <v>126</v>
      </c>
      <c r="Y12" s="26">
        <v>1.3521000000000001</v>
      </c>
      <c r="Z12" s="26">
        <v>1.1174999999999999</v>
      </c>
      <c r="AA12" s="26">
        <v>0.88790000000000002</v>
      </c>
      <c r="AB12" s="26"/>
      <c r="AC12" s="26"/>
      <c r="AD12" s="27">
        <v>0.93820000000000003</v>
      </c>
      <c r="AE12" s="34"/>
      <c r="AF12" s="95"/>
      <c r="AG12" s="5"/>
      <c r="AH12" s="26"/>
      <c r="AI12" s="26"/>
      <c r="AJ12" s="26"/>
      <c r="AK12" s="26"/>
      <c r="AL12" s="26"/>
      <c r="AM12" s="27"/>
      <c r="AN12" s="34"/>
      <c r="AO12" s="95"/>
      <c r="AP12" s="5"/>
      <c r="AQ12" s="26"/>
      <c r="AR12" s="26"/>
      <c r="AS12" s="26"/>
      <c r="AT12" s="26"/>
      <c r="AU12" s="26"/>
      <c r="AV12" s="27"/>
      <c r="AW12" s="34"/>
      <c r="AX12" s="95"/>
      <c r="AY12" s="5"/>
      <c r="AZ12" s="26"/>
      <c r="BA12" s="26"/>
      <c r="BB12" s="26"/>
      <c r="BC12" s="26"/>
      <c r="BD12" s="26"/>
      <c r="BE12" s="27"/>
      <c r="BF12" s="34"/>
      <c r="BG12" s="33"/>
      <c r="BH12" s="33"/>
      <c r="BI12" s="33"/>
      <c r="BJ12" s="33"/>
      <c r="BK12" s="33"/>
      <c r="BL12" s="33"/>
    </row>
    <row r="13" spans="2:64" x14ac:dyDescent="0.35">
      <c r="B13" s="15" t="s">
        <v>30</v>
      </c>
      <c r="D13" s="34"/>
      <c r="E13" s="95"/>
      <c r="F13" s="5" t="s">
        <v>121</v>
      </c>
      <c r="G13" s="26">
        <v>1</v>
      </c>
      <c r="H13" s="26">
        <v>1</v>
      </c>
      <c r="I13" s="26">
        <v>1</v>
      </c>
      <c r="J13" s="26">
        <v>1</v>
      </c>
      <c r="K13" s="26">
        <v>1</v>
      </c>
      <c r="L13" s="26">
        <v>1</v>
      </c>
      <c r="M13" s="34"/>
      <c r="N13" s="95"/>
      <c r="O13" s="5"/>
      <c r="P13" s="26">
        <v>1.3521000000000001</v>
      </c>
      <c r="Q13" s="26">
        <v>1.1174999999999999</v>
      </c>
      <c r="R13" s="26">
        <v>0.88790000000000002</v>
      </c>
      <c r="S13" s="26"/>
      <c r="T13" s="26"/>
      <c r="U13" s="27">
        <v>0.93820000000000003</v>
      </c>
      <c r="V13" s="34"/>
      <c r="W13" s="95"/>
      <c r="X13" s="5" t="s">
        <v>121</v>
      </c>
      <c r="Y13" s="26">
        <v>1.3521000000000001</v>
      </c>
      <c r="Z13" s="26">
        <v>1.1174999999999999</v>
      </c>
      <c r="AA13" s="26">
        <v>0.88790000000000002</v>
      </c>
      <c r="AB13" s="26"/>
      <c r="AC13" s="26"/>
      <c r="AD13" s="27">
        <v>0.93820000000000003</v>
      </c>
      <c r="AE13" s="34"/>
      <c r="AF13" s="95"/>
      <c r="AG13" s="5"/>
      <c r="AH13" s="26"/>
      <c r="AI13" s="26"/>
      <c r="AJ13" s="26"/>
      <c r="AK13" s="26"/>
      <c r="AL13" s="26"/>
      <c r="AM13" s="27"/>
      <c r="AN13" s="34"/>
      <c r="AO13" s="95"/>
      <c r="AP13" s="5"/>
      <c r="AQ13" s="26"/>
      <c r="AR13" s="26"/>
      <c r="AS13" s="26"/>
      <c r="AT13" s="26"/>
      <c r="AU13" s="26"/>
      <c r="AV13" s="27"/>
      <c r="AW13" s="34"/>
      <c r="AX13" s="95"/>
      <c r="AY13" s="5"/>
      <c r="AZ13" s="26"/>
      <c r="BA13" s="26"/>
      <c r="BB13" s="26"/>
      <c r="BC13" s="26"/>
      <c r="BD13" s="26"/>
      <c r="BE13" s="27"/>
      <c r="BF13" s="34"/>
      <c r="BG13" s="33"/>
      <c r="BH13" s="33"/>
      <c r="BI13" s="33"/>
      <c r="BJ13" s="33"/>
      <c r="BK13" s="33"/>
      <c r="BL13" s="33"/>
    </row>
    <row r="14" spans="2:64" x14ac:dyDescent="0.35">
      <c r="B14" s="15"/>
      <c r="D14" s="34"/>
      <c r="E14" s="95"/>
      <c r="F14" s="5" t="s">
        <v>122</v>
      </c>
      <c r="G14" s="26">
        <v>1</v>
      </c>
      <c r="H14" s="26">
        <v>1</v>
      </c>
      <c r="I14" s="26">
        <v>1</v>
      </c>
      <c r="J14" s="26">
        <v>1</v>
      </c>
      <c r="K14" s="26">
        <v>1</v>
      </c>
      <c r="L14" s="26">
        <v>1</v>
      </c>
      <c r="M14" s="34"/>
      <c r="N14" s="95"/>
      <c r="O14" s="5"/>
      <c r="P14" s="26">
        <v>1.3521000000000001</v>
      </c>
      <c r="Q14" s="26">
        <v>1.1174999999999999</v>
      </c>
      <c r="R14" s="26">
        <v>0.88790000000000002</v>
      </c>
      <c r="S14" s="26"/>
      <c r="T14" s="26"/>
      <c r="U14" s="27">
        <v>0.93820000000000003</v>
      </c>
      <c r="V14" s="34"/>
      <c r="W14" s="95"/>
      <c r="X14" s="5" t="s">
        <v>122</v>
      </c>
      <c r="Y14" s="26">
        <v>1.3521000000000001</v>
      </c>
      <c r="Z14" s="26">
        <v>1.1174999999999999</v>
      </c>
      <c r="AA14" s="26">
        <v>0.88790000000000002</v>
      </c>
      <c r="AB14" s="26"/>
      <c r="AC14" s="26"/>
      <c r="AD14" s="27">
        <v>0.93820000000000003</v>
      </c>
      <c r="AE14" s="34"/>
      <c r="AF14" s="95"/>
      <c r="AG14" s="5"/>
      <c r="AH14" s="26"/>
      <c r="AI14" s="26"/>
      <c r="AJ14" s="26"/>
      <c r="AK14" s="26"/>
      <c r="AL14" s="26"/>
      <c r="AM14" s="27"/>
      <c r="AN14" s="34"/>
      <c r="AO14" s="95"/>
      <c r="AP14" s="5"/>
      <c r="AQ14" s="26"/>
      <c r="AR14" s="26"/>
      <c r="AS14" s="26"/>
      <c r="AT14" s="26"/>
      <c r="AU14" s="26"/>
      <c r="AV14" s="27"/>
      <c r="AW14" s="34"/>
      <c r="AX14" s="95"/>
      <c r="AY14" s="5"/>
      <c r="AZ14" s="26"/>
      <c r="BA14" s="26"/>
      <c r="BB14" s="26"/>
      <c r="BC14" s="26"/>
      <c r="BD14" s="26"/>
      <c r="BE14" s="27"/>
      <c r="BF14" s="34"/>
      <c r="BG14" s="33"/>
      <c r="BH14" s="33"/>
      <c r="BI14" s="33"/>
      <c r="BJ14" s="33"/>
      <c r="BK14" s="33"/>
      <c r="BL14" s="33"/>
    </row>
    <row r="15" spans="2:64" x14ac:dyDescent="0.35">
      <c r="B15" s="15"/>
      <c r="D15" s="34"/>
      <c r="E15" s="95"/>
      <c r="F15" s="5" t="s">
        <v>127</v>
      </c>
      <c r="G15" s="26">
        <v>1</v>
      </c>
      <c r="H15" s="26">
        <v>1</v>
      </c>
      <c r="I15" s="26">
        <v>1</v>
      </c>
      <c r="J15" s="26">
        <v>1</v>
      </c>
      <c r="K15" s="26">
        <v>1</v>
      </c>
      <c r="L15" s="26">
        <v>1</v>
      </c>
      <c r="M15" s="34"/>
      <c r="N15" s="95"/>
      <c r="O15" s="5"/>
      <c r="P15" s="26"/>
      <c r="Q15" s="26"/>
      <c r="R15" s="26">
        <v>0.96970000000000001</v>
      </c>
      <c r="S15" s="26">
        <v>1.0795999999999999</v>
      </c>
      <c r="T15" s="26">
        <v>1.0701000000000001</v>
      </c>
      <c r="U15" s="27">
        <v>0.98329999999999995</v>
      </c>
      <c r="V15" s="34"/>
      <c r="W15" s="95"/>
      <c r="X15" s="5" t="s">
        <v>127</v>
      </c>
      <c r="Y15" s="26"/>
      <c r="Z15" s="26"/>
      <c r="AA15" s="26">
        <v>0.96970000000000001</v>
      </c>
      <c r="AB15" s="26">
        <v>1.0795999999999999</v>
      </c>
      <c r="AC15" s="26">
        <v>1.0701000000000001</v>
      </c>
      <c r="AD15" s="27">
        <v>0.98329999999999995</v>
      </c>
      <c r="AE15" s="34"/>
      <c r="AF15" s="95"/>
      <c r="AG15" s="5"/>
      <c r="AH15" s="26"/>
      <c r="AI15" s="26"/>
      <c r="AJ15" s="26"/>
      <c r="AK15" s="26"/>
      <c r="AL15" s="26"/>
      <c r="AM15" s="27"/>
      <c r="AN15" s="34"/>
      <c r="AO15" s="95"/>
      <c r="AP15" s="5"/>
      <c r="AQ15" s="26"/>
      <c r="AR15" s="26"/>
      <c r="AS15" s="26"/>
      <c r="AT15" s="26"/>
      <c r="AU15" s="26"/>
      <c r="AV15" s="27"/>
      <c r="AW15" s="34"/>
      <c r="AX15" s="95"/>
      <c r="AY15" s="5"/>
      <c r="AZ15" s="26"/>
      <c r="BA15" s="26"/>
      <c r="BB15" s="26"/>
      <c r="BC15" s="26"/>
      <c r="BD15" s="26"/>
      <c r="BE15" s="27"/>
      <c r="BF15" s="34"/>
      <c r="BG15" s="33"/>
      <c r="BH15" s="33"/>
      <c r="BI15" s="33"/>
      <c r="BJ15" s="33"/>
      <c r="BK15" s="33"/>
      <c r="BL15" s="33"/>
    </row>
    <row r="16" spans="2:64" x14ac:dyDescent="0.35">
      <c r="B16" s="15"/>
      <c r="D16" s="34"/>
      <c r="E16" s="95"/>
      <c r="F16" s="5" t="s">
        <v>128</v>
      </c>
      <c r="G16" s="26">
        <v>1</v>
      </c>
      <c r="H16" s="26">
        <v>1</v>
      </c>
      <c r="I16" s="26">
        <v>1</v>
      </c>
      <c r="J16" s="26">
        <v>1</v>
      </c>
      <c r="K16" s="26">
        <v>1</v>
      </c>
      <c r="L16" s="26">
        <v>1</v>
      </c>
      <c r="M16" s="34"/>
      <c r="N16" s="95"/>
      <c r="O16" s="5"/>
      <c r="P16" s="26"/>
      <c r="Q16" s="26"/>
      <c r="R16" s="26">
        <v>0.96970000000000001</v>
      </c>
      <c r="S16" s="26">
        <v>1.0795999999999999</v>
      </c>
      <c r="T16" s="26">
        <v>1.0701000000000001</v>
      </c>
      <c r="U16" s="27">
        <v>0.98329999999999995</v>
      </c>
      <c r="V16" s="34"/>
      <c r="W16" s="95"/>
      <c r="X16" s="5" t="s">
        <v>128</v>
      </c>
      <c r="Y16" s="26"/>
      <c r="Z16" s="26"/>
      <c r="AA16" s="26">
        <v>0.96970000000000001</v>
      </c>
      <c r="AB16" s="26">
        <v>1.0795999999999999</v>
      </c>
      <c r="AC16" s="26">
        <v>1.0701000000000001</v>
      </c>
      <c r="AD16" s="27">
        <v>0.98329999999999995</v>
      </c>
      <c r="AE16" s="34"/>
      <c r="AF16" s="95"/>
      <c r="AG16" s="5"/>
      <c r="AH16" s="26"/>
      <c r="AI16" s="26"/>
      <c r="AJ16" s="26"/>
      <c r="AK16" s="26"/>
      <c r="AL16" s="26"/>
      <c r="AM16" s="27"/>
      <c r="AN16" s="34"/>
      <c r="AO16" s="95"/>
      <c r="AP16" s="5"/>
      <c r="AQ16" s="26"/>
      <c r="AR16" s="26"/>
      <c r="AS16" s="26"/>
      <c r="AT16" s="26"/>
      <c r="AU16" s="26"/>
      <c r="AV16" s="27"/>
      <c r="AW16" s="34"/>
      <c r="AX16" s="95"/>
      <c r="AY16" s="5"/>
      <c r="AZ16" s="26"/>
      <c r="BA16" s="26"/>
      <c r="BB16" s="26"/>
      <c r="BC16" s="26"/>
      <c r="BD16" s="26"/>
      <c r="BE16" s="27"/>
      <c r="BF16" s="34"/>
      <c r="BG16" s="33"/>
      <c r="BH16" s="33"/>
      <c r="BI16" s="33"/>
      <c r="BJ16" s="33"/>
      <c r="BK16" s="33"/>
      <c r="BL16" s="33"/>
    </row>
    <row r="17" spans="2:64" x14ac:dyDescent="0.35">
      <c r="B17" s="15"/>
      <c r="D17" s="34"/>
      <c r="E17" s="95"/>
      <c r="F17" s="5" t="s">
        <v>129</v>
      </c>
      <c r="G17" s="26">
        <v>1</v>
      </c>
      <c r="H17" s="26">
        <v>1</v>
      </c>
      <c r="I17" s="26">
        <v>1</v>
      </c>
      <c r="J17" s="26">
        <v>1</v>
      </c>
      <c r="K17" s="26">
        <v>1</v>
      </c>
      <c r="L17" s="26">
        <v>1</v>
      </c>
      <c r="M17" s="34"/>
      <c r="N17" s="95"/>
      <c r="O17" s="5"/>
      <c r="P17" s="26"/>
      <c r="Q17" s="26"/>
      <c r="R17" s="26">
        <v>0.96970000000000001</v>
      </c>
      <c r="S17" s="26">
        <v>1.0795999999999999</v>
      </c>
      <c r="T17" s="26">
        <v>1.0701000000000001</v>
      </c>
      <c r="U17" s="27">
        <v>0.98329999999999995</v>
      </c>
      <c r="V17" s="34"/>
      <c r="W17" s="95"/>
      <c r="X17" s="5" t="s">
        <v>129</v>
      </c>
      <c r="Y17" s="26"/>
      <c r="Z17" s="26"/>
      <c r="AA17" s="26">
        <v>0.96970000000000001</v>
      </c>
      <c r="AB17" s="26">
        <v>1.0795999999999999</v>
      </c>
      <c r="AC17" s="26">
        <v>1.0701000000000001</v>
      </c>
      <c r="AD17" s="27">
        <v>0.98329999999999995</v>
      </c>
      <c r="AE17" s="34"/>
      <c r="AF17" s="95"/>
      <c r="AG17" s="5"/>
      <c r="AH17" s="26"/>
      <c r="AI17" s="26"/>
      <c r="AJ17" s="26"/>
      <c r="AK17" s="26"/>
      <c r="AL17" s="26"/>
      <c r="AM17" s="27"/>
      <c r="AN17" s="34"/>
      <c r="AO17" s="95"/>
      <c r="AP17" s="5"/>
      <c r="AQ17" s="26"/>
      <c r="AR17" s="26"/>
      <c r="AS17" s="26"/>
      <c r="AT17" s="26"/>
      <c r="AU17" s="26"/>
      <c r="AV17" s="27"/>
      <c r="AW17" s="34"/>
      <c r="AX17" s="95"/>
      <c r="AY17" s="5"/>
      <c r="AZ17" s="26"/>
      <c r="BA17" s="26"/>
      <c r="BB17" s="26"/>
      <c r="BC17" s="26"/>
      <c r="BD17" s="26"/>
      <c r="BE17" s="27"/>
      <c r="BF17" s="34"/>
      <c r="BG17" s="33"/>
      <c r="BH17" s="33"/>
      <c r="BI17" s="33"/>
      <c r="BJ17" s="33"/>
      <c r="BK17" s="33"/>
      <c r="BL17" s="33"/>
    </row>
    <row r="18" spans="2:64" x14ac:dyDescent="0.35">
      <c r="B18" s="15"/>
      <c r="D18" s="34"/>
      <c r="E18" s="95"/>
      <c r="F18" s="5" t="s">
        <v>130</v>
      </c>
      <c r="G18" s="26">
        <v>1</v>
      </c>
      <c r="H18" s="26">
        <v>1</v>
      </c>
      <c r="I18" s="26">
        <v>1</v>
      </c>
      <c r="J18" s="26">
        <v>1</v>
      </c>
      <c r="K18" s="26">
        <v>1</v>
      </c>
      <c r="L18" s="26">
        <v>1</v>
      </c>
      <c r="M18" s="34" t="str">
        <f>IF(SUM(G18:L18)=0,"OJO","")</f>
        <v/>
      </c>
      <c r="N18" s="95"/>
      <c r="O18" s="5" t="s">
        <v>18</v>
      </c>
      <c r="P18" s="26">
        <v>1.0384</v>
      </c>
      <c r="Q18" s="26">
        <v>1.0279</v>
      </c>
      <c r="R18" s="26">
        <v>1.1055999999999999</v>
      </c>
      <c r="S18" s="26">
        <v>1.0248999999999999</v>
      </c>
      <c r="T18" s="26"/>
      <c r="U18" s="27">
        <v>0.97599999999999998</v>
      </c>
      <c r="V18" s="34" t="str">
        <f>IF(SUM(P18:U18)=0,"OJO","")</f>
        <v/>
      </c>
      <c r="W18" s="95"/>
      <c r="X18" s="5" t="s">
        <v>130</v>
      </c>
      <c r="Y18" s="26">
        <v>1.0384</v>
      </c>
      <c r="Z18" s="26">
        <v>1.0279</v>
      </c>
      <c r="AA18" s="26">
        <v>1.1055999999999999</v>
      </c>
      <c r="AB18" s="26">
        <v>1.0248999999999999</v>
      </c>
      <c r="AC18" s="26"/>
      <c r="AD18" s="27">
        <v>0.97599999999999998</v>
      </c>
      <c r="AE18" s="34" t="str">
        <f>IF(SUM(Y18:AD18)=0,"OJO","")</f>
        <v/>
      </c>
      <c r="AF18" s="95"/>
      <c r="AG18" s="5" t="s">
        <v>18</v>
      </c>
      <c r="AH18" s="26">
        <f>IFERROR(AVERAGEIFS(#REF!,#REF!,"="&amp;'Contrato Marco'!$AG$3,#REF!,"="&amp;'Contrato Marco'!$AG18),0)</f>
        <v>0</v>
      </c>
      <c r="AI18" s="26">
        <f>IFERROR(AVERAGEIFS(#REF!,#REF!,"="&amp;'Contrato Marco'!$AG$3,#REF!,"="&amp;'Contrato Marco'!$AG18),0)</f>
        <v>0</v>
      </c>
      <c r="AJ18" s="26">
        <f>IFERROR(AVERAGEIFS(#REF!,#REF!,"="&amp;'Contrato Marco'!$AG$3,#REF!,"="&amp;'Contrato Marco'!$AG18),0)</f>
        <v>0</v>
      </c>
      <c r="AK18" s="26">
        <f>IFERROR(AVERAGEIFS(#REF!,#REF!,"="&amp;'Contrato Marco'!$AG$3,#REF!,"="&amp;'Contrato Marco'!$AG18),0)</f>
        <v>0</v>
      </c>
      <c r="AL18" s="26">
        <f>IFERROR(AVERAGEIFS(#REF!,#REF!,"="&amp;'Contrato Marco'!$AG$3,#REF!,"="&amp;'Contrato Marco'!$AG18),0)</f>
        <v>0</v>
      </c>
      <c r="AM18" s="27">
        <f>IFERROR(AVERAGEIFS(#REF!,#REF!,"="&amp;'Contrato Marco'!$AG$3,#REF!,"="&amp;'Contrato Marco'!$AG18),0)</f>
        <v>0</v>
      </c>
      <c r="AN18" s="34" t="str">
        <f>IF(SUM(AH18:AM18)=0,"OJO","")</f>
        <v>OJO</v>
      </c>
      <c r="AO18" s="95"/>
      <c r="AP18" s="5" t="s">
        <v>18</v>
      </c>
      <c r="AQ18" s="26">
        <f>IFERROR(AVERAGEIFS(#REF!,#REF!,"="&amp;'Contrato Marco'!$AP$3,#REF!,"="&amp;'Contrato Marco'!$AP18),0)</f>
        <v>0</v>
      </c>
      <c r="AR18" s="26">
        <f>IFERROR(AVERAGEIFS(#REF!,#REF!,"="&amp;'Contrato Marco'!$AP$3,#REF!,"="&amp;'Contrato Marco'!$AP18),0)</f>
        <v>0</v>
      </c>
      <c r="AS18" s="26">
        <f>IFERROR(AVERAGEIFS(#REF!,#REF!,"="&amp;'Contrato Marco'!$AP$3,#REF!,"="&amp;'Contrato Marco'!$AP18),0)</f>
        <v>0</v>
      </c>
      <c r="AT18" s="26">
        <f>IFERROR(AVERAGEIFS(#REF!,#REF!,"="&amp;'Contrato Marco'!$AP$3,#REF!,"="&amp;'Contrato Marco'!$AP18),0)</f>
        <v>0</v>
      </c>
      <c r="AU18" s="26">
        <f>IFERROR(AVERAGEIFS(#REF!,#REF!,"="&amp;'Contrato Marco'!$AP$3,#REF!,"="&amp;'Contrato Marco'!$AP18),0)</f>
        <v>0</v>
      </c>
      <c r="AV18" s="27">
        <f>IFERROR(AVERAGEIFS(#REF!,#REF!,"="&amp;'Contrato Marco'!$AP$3,#REF!,"="&amp;'Contrato Marco'!$AP18),0)</f>
        <v>0</v>
      </c>
      <c r="AW18" s="34" t="str">
        <f>IF(SUM(AQ18:AV18)=0,"OJO","")</f>
        <v>OJO</v>
      </c>
      <c r="AX18" s="95"/>
      <c r="AY18" s="5" t="s">
        <v>18</v>
      </c>
      <c r="AZ18" s="26">
        <f>IFERROR(AVERAGEIFS(#REF!,#REF!,"="&amp;'Contrato Marco'!$AY$3,#REF!,"="&amp;'Contrato Marco'!$AY18),0)</f>
        <v>0</v>
      </c>
      <c r="BA18" s="26">
        <f>IFERROR(AVERAGEIFS(#REF!,#REF!,"="&amp;'Contrato Marco'!$AY$3,#REF!,"="&amp;'Contrato Marco'!$AY18),0)</f>
        <v>0</v>
      </c>
      <c r="BB18" s="26">
        <f>IFERROR(AVERAGEIFS(#REF!,#REF!,"="&amp;'Contrato Marco'!$AY$3,#REF!,"="&amp;'Contrato Marco'!$AY18),0)</f>
        <v>0</v>
      </c>
      <c r="BC18" s="26">
        <f>IFERROR(AVERAGEIFS(#REF!,#REF!,"="&amp;'Contrato Marco'!$AY$3,#REF!,"="&amp;'Contrato Marco'!$AY18),0)</f>
        <v>0</v>
      </c>
      <c r="BD18" s="26">
        <f>IFERROR(AVERAGEIFS(#REF!,#REF!,"="&amp;'Contrato Marco'!$AY$3,#REF!,"="&amp;'Contrato Marco'!$AY18),0)</f>
        <v>0</v>
      </c>
      <c r="BE18" s="27">
        <f>IFERROR(AVERAGEIFS(#REF!,#REF!,"="&amp;'Contrato Marco'!$AY$3,#REF!,"="&amp;'Contrato Marco'!$AY18),0)</f>
        <v>0</v>
      </c>
      <c r="BF18" s="34" t="str">
        <f>IF(SUM(AZ18:BE18)=0,"OJO","")</f>
        <v>OJO</v>
      </c>
      <c r="BG18" s="33"/>
      <c r="BH18" s="33"/>
      <c r="BI18" s="33"/>
      <c r="BJ18" s="33"/>
      <c r="BK18" s="33"/>
      <c r="BL18" s="33"/>
    </row>
    <row r="19" spans="2:64" x14ac:dyDescent="0.35">
      <c r="B19" s="15"/>
      <c r="D19" s="34"/>
      <c r="E19" s="95"/>
      <c r="F19" s="5" t="s">
        <v>131</v>
      </c>
      <c r="G19" s="26">
        <v>1</v>
      </c>
      <c r="H19" s="26">
        <v>1</v>
      </c>
      <c r="I19" s="26">
        <v>1</v>
      </c>
      <c r="J19" s="26">
        <v>1</v>
      </c>
      <c r="K19" s="26">
        <v>1</v>
      </c>
      <c r="L19" s="26">
        <v>1</v>
      </c>
      <c r="M19" s="34"/>
      <c r="N19" s="95"/>
      <c r="O19" s="5"/>
      <c r="P19" s="26">
        <v>1.0384</v>
      </c>
      <c r="Q19" s="26">
        <v>1.0279</v>
      </c>
      <c r="R19" s="26">
        <v>1.1055999999999999</v>
      </c>
      <c r="S19" s="26">
        <v>1.0248999999999999</v>
      </c>
      <c r="T19" s="26"/>
      <c r="U19" s="27">
        <v>0.97599999999999998</v>
      </c>
      <c r="V19" s="34"/>
      <c r="W19" s="95"/>
      <c r="X19" s="5" t="s">
        <v>131</v>
      </c>
      <c r="Y19" s="26">
        <v>1.0384</v>
      </c>
      <c r="Z19" s="26">
        <v>1.0279</v>
      </c>
      <c r="AA19" s="26">
        <v>1.1055999999999999</v>
      </c>
      <c r="AB19" s="26">
        <v>1.0248999999999999</v>
      </c>
      <c r="AC19" s="26"/>
      <c r="AD19" s="27">
        <v>0.97599999999999998</v>
      </c>
      <c r="AE19" s="34"/>
      <c r="AF19" s="95"/>
      <c r="AG19" s="5"/>
      <c r="AH19" s="26"/>
      <c r="AI19" s="26"/>
      <c r="AJ19" s="26"/>
      <c r="AK19" s="26"/>
      <c r="AL19" s="26"/>
      <c r="AM19" s="27"/>
      <c r="AN19" s="34"/>
      <c r="AO19" s="95"/>
      <c r="AP19" s="5"/>
      <c r="AQ19" s="26"/>
      <c r="AR19" s="26"/>
      <c r="AS19" s="26"/>
      <c r="AT19" s="26"/>
      <c r="AU19" s="26"/>
      <c r="AV19" s="27"/>
      <c r="AW19" s="34"/>
      <c r="AX19" s="95"/>
      <c r="AY19" s="5"/>
      <c r="AZ19" s="26"/>
      <c r="BA19" s="26"/>
      <c r="BB19" s="26"/>
      <c r="BC19" s="26"/>
      <c r="BD19" s="26"/>
      <c r="BE19" s="27"/>
      <c r="BF19" s="34"/>
      <c r="BG19" s="33"/>
      <c r="BH19" s="33"/>
      <c r="BI19" s="33"/>
      <c r="BJ19" s="33"/>
      <c r="BK19" s="33"/>
      <c r="BL19" s="33"/>
    </row>
    <row r="20" spans="2:64" x14ac:dyDescent="0.35">
      <c r="B20" s="15"/>
      <c r="D20" s="34"/>
      <c r="E20" s="95"/>
      <c r="F20" s="5" t="s">
        <v>132</v>
      </c>
      <c r="G20" s="26">
        <v>1</v>
      </c>
      <c r="H20" s="26">
        <v>1</v>
      </c>
      <c r="I20" s="26">
        <v>1</v>
      </c>
      <c r="J20" s="26">
        <v>1</v>
      </c>
      <c r="K20" s="26">
        <v>1</v>
      </c>
      <c r="L20" s="26">
        <v>1</v>
      </c>
      <c r="M20" s="34" t="str">
        <f>IF(SUM(G20:L20)=0,"OJO","")</f>
        <v/>
      </c>
      <c r="N20" s="95"/>
      <c r="O20" s="5" t="s">
        <v>19</v>
      </c>
      <c r="P20" s="26">
        <v>1.0384</v>
      </c>
      <c r="Q20" s="26">
        <v>1.0279</v>
      </c>
      <c r="R20" s="26">
        <v>1.1055999999999999</v>
      </c>
      <c r="S20" s="26">
        <v>1.0248999999999999</v>
      </c>
      <c r="T20" s="26"/>
      <c r="U20" s="27">
        <v>0.97599999999999998</v>
      </c>
      <c r="V20" s="34" t="str">
        <f>IF(SUM(P20:U20)=0,"OJO","")</f>
        <v/>
      </c>
      <c r="W20" s="95"/>
      <c r="X20" s="5" t="s">
        <v>132</v>
      </c>
      <c r="Y20" s="26">
        <v>1.0384</v>
      </c>
      <c r="Z20" s="26">
        <v>1.0279</v>
      </c>
      <c r="AA20" s="26">
        <v>1.1055999999999999</v>
      </c>
      <c r="AB20" s="26">
        <v>1.0248999999999999</v>
      </c>
      <c r="AC20" s="26"/>
      <c r="AD20" s="27">
        <v>0.97599999999999998</v>
      </c>
      <c r="AE20" s="34" t="str">
        <f>IF(SUM(Y20:AD20)=0,"OJO","")</f>
        <v/>
      </c>
      <c r="AF20" s="95"/>
      <c r="AG20" s="5" t="s">
        <v>19</v>
      </c>
      <c r="AH20" s="26">
        <f>IFERROR(AVERAGEIFS(#REF!,#REF!,"="&amp;'Contrato Marco'!$AG$3,#REF!,"="&amp;'Contrato Marco'!$AG20),0)</f>
        <v>0</v>
      </c>
      <c r="AI20" s="26">
        <f>IFERROR(AVERAGEIFS(#REF!,#REF!,"="&amp;'Contrato Marco'!$AG$3,#REF!,"="&amp;'Contrato Marco'!$AG20),0)</f>
        <v>0</v>
      </c>
      <c r="AJ20" s="26">
        <f>IFERROR(AVERAGEIFS(#REF!,#REF!,"="&amp;'Contrato Marco'!$AG$3,#REF!,"="&amp;'Contrato Marco'!$AG20),0)</f>
        <v>0</v>
      </c>
      <c r="AK20" s="26">
        <f>IFERROR(AVERAGEIFS(#REF!,#REF!,"="&amp;'Contrato Marco'!$AG$3,#REF!,"="&amp;'Contrato Marco'!$AG20),0)</f>
        <v>0</v>
      </c>
      <c r="AL20" s="26">
        <f>IFERROR(AVERAGEIFS(#REF!,#REF!,"="&amp;'Contrato Marco'!$AG$3,#REF!,"="&amp;'Contrato Marco'!$AG20),0)</f>
        <v>0</v>
      </c>
      <c r="AM20" s="27">
        <f>IFERROR(AVERAGEIFS(#REF!,#REF!,"="&amp;'Contrato Marco'!$AG$3,#REF!,"="&amp;'Contrato Marco'!$AG20),0)</f>
        <v>0</v>
      </c>
      <c r="AN20" s="34" t="str">
        <f>IF(SUM(AH20:AM20)=0,"OJO","")</f>
        <v>OJO</v>
      </c>
      <c r="AO20" s="95"/>
      <c r="AP20" s="5" t="s">
        <v>19</v>
      </c>
      <c r="AQ20" s="26">
        <f>IFERROR(AVERAGEIFS(#REF!,#REF!,"="&amp;'Contrato Marco'!$AP$3,#REF!,"="&amp;'Contrato Marco'!$AP20),0)</f>
        <v>0</v>
      </c>
      <c r="AR20" s="26">
        <f>IFERROR(AVERAGEIFS(#REF!,#REF!,"="&amp;'Contrato Marco'!$AP$3,#REF!,"="&amp;'Contrato Marco'!$AP20),0)</f>
        <v>0</v>
      </c>
      <c r="AS20" s="26">
        <f>IFERROR(AVERAGEIFS(#REF!,#REF!,"="&amp;'Contrato Marco'!$AP$3,#REF!,"="&amp;'Contrato Marco'!$AP20),0)</f>
        <v>0</v>
      </c>
      <c r="AT20" s="26">
        <f>IFERROR(AVERAGEIFS(#REF!,#REF!,"="&amp;'Contrato Marco'!$AP$3,#REF!,"="&amp;'Contrato Marco'!$AP20),0)</f>
        <v>0</v>
      </c>
      <c r="AU20" s="26">
        <f>IFERROR(AVERAGEIFS(#REF!,#REF!,"="&amp;'Contrato Marco'!$AP$3,#REF!,"="&amp;'Contrato Marco'!$AP20),0)</f>
        <v>0</v>
      </c>
      <c r="AV20" s="27">
        <f>IFERROR(AVERAGEIFS(#REF!,#REF!,"="&amp;'Contrato Marco'!$AP$3,#REF!,"="&amp;'Contrato Marco'!$AP20),0)</f>
        <v>0</v>
      </c>
      <c r="AW20" s="34" t="str">
        <f>IF(SUM(AQ20:AV20)=0,"OJO","")</f>
        <v>OJO</v>
      </c>
      <c r="AX20" s="95"/>
      <c r="AY20" s="5" t="s">
        <v>19</v>
      </c>
      <c r="AZ20" s="26">
        <f>IFERROR(AVERAGEIFS(#REF!,#REF!,"="&amp;'Contrato Marco'!$AY$3,#REF!,"="&amp;'Contrato Marco'!$AY20),0)</f>
        <v>0</v>
      </c>
      <c r="BA20" s="26">
        <f>IFERROR(AVERAGEIFS(#REF!,#REF!,"="&amp;'Contrato Marco'!$AY$3,#REF!,"="&amp;'Contrato Marco'!$AY20),0)</f>
        <v>0</v>
      </c>
      <c r="BB20" s="26">
        <f>IFERROR(AVERAGEIFS(#REF!,#REF!,"="&amp;'Contrato Marco'!$AY$3,#REF!,"="&amp;'Contrato Marco'!$AY20),0)</f>
        <v>0</v>
      </c>
      <c r="BC20" s="26">
        <f>IFERROR(AVERAGEIFS(#REF!,#REF!,"="&amp;'Contrato Marco'!$AY$3,#REF!,"="&amp;'Contrato Marco'!$AY20),0)</f>
        <v>0</v>
      </c>
      <c r="BD20" s="26">
        <f>IFERROR(AVERAGEIFS(#REF!,#REF!,"="&amp;'Contrato Marco'!$AY$3,#REF!,"="&amp;'Contrato Marco'!$AY20),0)</f>
        <v>0</v>
      </c>
      <c r="BE20" s="27">
        <f>IFERROR(AVERAGEIFS(#REF!,#REF!,"="&amp;'Contrato Marco'!$AY$3,#REF!,"="&amp;'Contrato Marco'!$AY20),0)</f>
        <v>0</v>
      </c>
      <c r="BF20" s="34" t="str">
        <f>IF(SUM(AZ20:BE20)=0,"OJO","")</f>
        <v>OJO</v>
      </c>
      <c r="BG20" s="33"/>
      <c r="BH20" s="33"/>
      <c r="BI20" s="33"/>
      <c r="BJ20" s="33"/>
      <c r="BK20" s="33"/>
      <c r="BL20" s="33"/>
    </row>
    <row r="21" spans="2:64" x14ac:dyDescent="0.35">
      <c r="B21" s="15"/>
      <c r="D21" s="34"/>
      <c r="E21" s="96"/>
      <c r="F21" s="5" t="s">
        <v>133</v>
      </c>
      <c r="G21" s="26">
        <v>1</v>
      </c>
      <c r="H21" s="26">
        <v>1</v>
      </c>
      <c r="I21" s="26">
        <v>1</v>
      </c>
      <c r="J21" s="26">
        <v>1</v>
      </c>
      <c r="K21" s="26">
        <v>1</v>
      </c>
      <c r="L21" s="26">
        <v>1</v>
      </c>
      <c r="M21" s="34"/>
      <c r="N21" s="96"/>
      <c r="O21" s="67"/>
      <c r="P21" s="68">
        <v>0.99360000000000004</v>
      </c>
      <c r="Q21" s="68">
        <v>1.0754999999999999</v>
      </c>
      <c r="R21" s="68">
        <v>1.0831</v>
      </c>
      <c r="S21" s="68">
        <v>1.3411999999999999</v>
      </c>
      <c r="T21" s="68">
        <v>1.1627000000000001</v>
      </c>
      <c r="U21" s="69">
        <v>0.96630000000000005</v>
      </c>
      <c r="V21" s="34"/>
      <c r="W21" s="96"/>
      <c r="X21" s="5" t="s">
        <v>133</v>
      </c>
      <c r="Y21" s="68">
        <v>0.99360000000000004</v>
      </c>
      <c r="Z21" s="68">
        <v>1.0754999999999999</v>
      </c>
      <c r="AA21" s="68">
        <v>1.0831</v>
      </c>
      <c r="AB21" s="68">
        <v>1.3411999999999999</v>
      </c>
      <c r="AC21" s="68">
        <v>1.1627000000000001</v>
      </c>
      <c r="AD21" s="69">
        <v>0.96630000000000005</v>
      </c>
      <c r="AE21" s="34"/>
      <c r="AF21" s="96"/>
      <c r="AG21" s="67"/>
      <c r="AH21" s="68"/>
      <c r="AI21" s="68"/>
      <c r="AJ21" s="68"/>
      <c r="AK21" s="68"/>
      <c r="AL21" s="68"/>
      <c r="AM21" s="69"/>
      <c r="AN21" s="34"/>
      <c r="AO21" s="96"/>
      <c r="AP21" s="67"/>
      <c r="AQ21" s="68"/>
      <c r="AR21" s="68"/>
      <c r="AS21" s="68"/>
      <c r="AT21" s="68"/>
      <c r="AU21" s="68"/>
      <c r="AV21" s="69"/>
      <c r="AW21" s="34"/>
      <c r="AX21" s="96"/>
      <c r="AY21" s="67"/>
      <c r="AZ21" s="68"/>
      <c r="BA21" s="68"/>
      <c r="BB21" s="68"/>
      <c r="BC21" s="68"/>
      <c r="BD21" s="68"/>
      <c r="BE21" s="69"/>
      <c r="BF21" s="34"/>
      <c r="BG21" s="33"/>
      <c r="BH21" s="33"/>
      <c r="BI21" s="33"/>
      <c r="BJ21" s="33"/>
      <c r="BK21" s="33"/>
      <c r="BL21" s="33"/>
    </row>
    <row r="22" spans="2:64" x14ac:dyDescent="0.35">
      <c r="B22" s="15"/>
      <c r="D22" s="34"/>
      <c r="E22" s="96"/>
      <c r="F22" s="5" t="s">
        <v>134</v>
      </c>
      <c r="G22" s="26">
        <v>1</v>
      </c>
      <c r="H22" s="26">
        <v>1</v>
      </c>
      <c r="I22" s="26">
        <v>1</v>
      </c>
      <c r="J22" s="26">
        <v>1</v>
      </c>
      <c r="K22" s="26">
        <v>1</v>
      </c>
      <c r="L22" s="26">
        <v>1</v>
      </c>
      <c r="M22" s="34"/>
      <c r="N22" s="96"/>
      <c r="O22" s="67"/>
      <c r="P22" s="68">
        <v>0.99360000000000004</v>
      </c>
      <c r="Q22" s="68">
        <v>1.0754999999999999</v>
      </c>
      <c r="R22" s="68">
        <v>1.0831</v>
      </c>
      <c r="S22" s="68">
        <v>1.3411999999999999</v>
      </c>
      <c r="T22" s="68">
        <v>1.1627000000000001</v>
      </c>
      <c r="U22" s="81">
        <v>0.96630000000000005</v>
      </c>
      <c r="V22" s="34"/>
      <c r="W22" s="96"/>
      <c r="X22" s="5" t="s">
        <v>134</v>
      </c>
      <c r="Y22" s="68">
        <v>0.99360000000000004</v>
      </c>
      <c r="Z22" s="68">
        <v>1.0754999999999999</v>
      </c>
      <c r="AA22" s="68">
        <v>1.0831</v>
      </c>
      <c r="AB22" s="68">
        <v>1.3411999999999999</v>
      </c>
      <c r="AC22" s="68">
        <v>1.1627000000000001</v>
      </c>
      <c r="AD22" s="69">
        <v>0.96630000000000005</v>
      </c>
      <c r="AE22" s="34"/>
      <c r="AF22" s="96"/>
      <c r="AG22" s="67"/>
      <c r="AH22" s="68"/>
      <c r="AI22" s="68"/>
      <c r="AJ22" s="68"/>
      <c r="AK22" s="68"/>
      <c r="AL22" s="68"/>
      <c r="AM22" s="69"/>
      <c r="AN22" s="34"/>
      <c r="AO22" s="96"/>
      <c r="AP22" s="67"/>
      <c r="AQ22" s="68"/>
      <c r="AR22" s="68"/>
      <c r="AS22" s="68"/>
      <c r="AT22" s="68"/>
      <c r="AU22" s="68"/>
      <c r="AV22" s="69"/>
      <c r="AW22" s="34"/>
      <c r="AX22" s="96"/>
      <c r="AY22" s="67"/>
      <c r="AZ22" s="68"/>
      <c r="BA22" s="68"/>
      <c r="BB22" s="68"/>
      <c r="BC22" s="68"/>
      <c r="BD22" s="68"/>
      <c r="BE22" s="69"/>
      <c r="BF22" s="34"/>
      <c r="BG22" s="33"/>
      <c r="BH22" s="33"/>
      <c r="BI22" s="33"/>
      <c r="BJ22" s="33"/>
      <c r="BK22" s="33"/>
      <c r="BL22" s="33"/>
    </row>
    <row r="23" spans="2:64" ht="15.5" thickBot="1" x14ac:dyDescent="0.4">
      <c r="B23" s="15"/>
      <c r="D23" s="34"/>
      <c r="E23" s="97"/>
      <c r="F23" s="28" t="s">
        <v>135</v>
      </c>
      <c r="G23" s="26">
        <v>1</v>
      </c>
      <c r="H23" s="26">
        <v>1</v>
      </c>
      <c r="I23" s="26">
        <v>1</v>
      </c>
      <c r="J23" s="26">
        <v>1</v>
      </c>
      <c r="K23" s="26">
        <v>1</v>
      </c>
      <c r="L23" s="26">
        <v>1</v>
      </c>
      <c r="M23" s="34" t="str">
        <f>IF(SUM(G23:L23)=0,"OJO","")</f>
        <v/>
      </c>
      <c r="N23" s="97"/>
      <c r="O23" s="14" t="s">
        <v>20</v>
      </c>
      <c r="P23" s="28">
        <v>0.99360000000000004</v>
      </c>
      <c r="Q23" s="28">
        <v>1.0754999999999999</v>
      </c>
      <c r="R23" s="28">
        <v>1.0831</v>
      </c>
      <c r="S23" s="28">
        <v>1.3411999999999999</v>
      </c>
      <c r="T23" s="28">
        <v>1.1627000000000001</v>
      </c>
      <c r="U23" s="29">
        <v>0.96630000000000005</v>
      </c>
      <c r="V23" s="34" t="str">
        <f>IF(SUM(P23:U23)=0,"OJO","")</f>
        <v/>
      </c>
      <c r="W23" s="97"/>
      <c r="X23" s="14" t="s">
        <v>135</v>
      </c>
      <c r="Y23" s="28">
        <v>0.99360000000000004</v>
      </c>
      <c r="Z23" s="28">
        <v>1.0754999999999999</v>
      </c>
      <c r="AA23" s="28">
        <v>1.0831</v>
      </c>
      <c r="AB23" s="28">
        <v>1.3411999999999999</v>
      </c>
      <c r="AC23" s="28">
        <v>1.1627000000000001</v>
      </c>
      <c r="AD23" s="29">
        <v>0.96630000000000005</v>
      </c>
      <c r="AE23" s="34" t="str">
        <f>IF(SUM(Y23:AD23)=0,"OJO","")</f>
        <v/>
      </c>
      <c r="AF23" s="97"/>
      <c r="AG23" s="14" t="s">
        <v>20</v>
      </c>
      <c r="AH23" s="28">
        <f>IFERROR(AVERAGEIFS(#REF!,#REF!,"="&amp;'Contrato Marco'!$AG$3,#REF!,"="&amp;'Contrato Marco'!$AG23),0)</f>
        <v>0</v>
      </c>
      <c r="AI23" s="28">
        <f>IFERROR(AVERAGEIFS(#REF!,#REF!,"="&amp;'Contrato Marco'!$AG$3,#REF!,"="&amp;'Contrato Marco'!$AG23),0)</f>
        <v>0</v>
      </c>
      <c r="AJ23" s="28">
        <f>IFERROR(AVERAGEIFS(#REF!,#REF!,"="&amp;'Contrato Marco'!$AG$3,#REF!,"="&amp;'Contrato Marco'!$AG23),0)</f>
        <v>0</v>
      </c>
      <c r="AK23" s="28">
        <f>IFERROR(AVERAGEIFS(#REF!,#REF!,"="&amp;'Contrato Marco'!$AG$3,#REF!,"="&amp;'Contrato Marco'!$AG23),0)</f>
        <v>0</v>
      </c>
      <c r="AL23" s="28">
        <f>IFERROR(AVERAGEIFS(#REF!,#REF!,"="&amp;'Contrato Marco'!$AG$3,#REF!,"="&amp;'Contrato Marco'!$AG23),0)</f>
        <v>0</v>
      </c>
      <c r="AM23" s="29">
        <f>IFERROR(AVERAGEIFS(#REF!,#REF!,"="&amp;'Contrato Marco'!$AG$3,#REF!,"="&amp;'Contrato Marco'!$AG23),0)</f>
        <v>0</v>
      </c>
      <c r="AN23" s="34" t="str">
        <f>IF(SUM(AH23:AM23)=0,"OJO","")</f>
        <v>OJO</v>
      </c>
      <c r="AO23" s="97"/>
      <c r="AP23" s="14" t="s">
        <v>20</v>
      </c>
      <c r="AQ23" s="28">
        <f>IFERROR(AVERAGEIFS(#REF!,#REF!,"="&amp;'Contrato Marco'!$AP$3,#REF!,"="&amp;'Contrato Marco'!$AP23),0)</f>
        <v>0</v>
      </c>
      <c r="AR23" s="28">
        <f>IFERROR(AVERAGEIFS(#REF!,#REF!,"="&amp;'Contrato Marco'!$AP$3,#REF!,"="&amp;'Contrato Marco'!$AP23),0)</f>
        <v>0</v>
      </c>
      <c r="AS23" s="28">
        <f>IFERROR(AVERAGEIFS(#REF!,#REF!,"="&amp;'Contrato Marco'!$AP$3,#REF!,"="&amp;'Contrato Marco'!$AP23),0)</f>
        <v>0</v>
      </c>
      <c r="AT23" s="28">
        <f>IFERROR(AVERAGEIFS(#REF!,#REF!,"="&amp;'Contrato Marco'!$AP$3,#REF!,"="&amp;'Contrato Marco'!$AP23),0)</f>
        <v>0</v>
      </c>
      <c r="AU23" s="28">
        <f>IFERROR(AVERAGEIFS(#REF!,#REF!,"="&amp;'Contrato Marco'!$AP$3,#REF!,"="&amp;'Contrato Marco'!$AP23),0)</f>
        <v>0</v>
      </c>
      <c r="AV23" s="29">
        <f>IFERROR(AVERAGEIFS(#REF!,#REF!,"="&amp;'Contrato Marco'!$AP$3,#REF!,"="&amp;'Contrato Marco'!$AP23),0)</f>
        <v>0</v>
      </c>
      <c r="AW23" s="34" t="str">
        <f>IF(SUM(AQ23:AV23)=0,"OJO","")</f>
        <v>OJO</v>
      </c>
      <c r="AX23" s="97"/>
      <c r="AY23" s="14" t="s">
        <v>20</v>
      </c>
      <c r="AZ23" s="28">
        <f>IFERROR(AVERAGEIFS(#REF!,#REF!,"="&amp;'Contrato Marco'!$AY$3,#REF!,"="&amp;'Contrato Marco'!$AY23),0)</f>
        <v>0</v>
      </c>
      <c r="BA23" s="28">
        <f>IFERROR(AVERAGEIFS(#REF!,#REF!,"="&amp;'Contrato Marco'!$AY$3,#REF!,"="&amp;'Contrato Marco'!$AY23),0)</f>
        <v>0</v>
      </c>
      <c r="BB23" s="28">
        <f>IFERROR(AVERAGEIFS(#REF!,#REF!,"="&amp;'Contrato Marco'!$AY$3,#REF!,"="&amp;'Contrato Marco'!$AY23),0)</f>
        <v>0</v>
      </c>
      <c r="BC23" s="28">
        <f>IFERROR(AVERAGEIFS(#REF!,#REF!,"="&amp;'Contrato Marco'!$AY$3,#REF!,"="&amp;'Contrato Marco'!$AY23),0)</f>
        <v>0</v>
      </c>
      <c r="BD23" s="28">
        <f>IFERROR(AVERAGEIFS(#REF!,#REF!,"="&amp;'Contrato Marco'!$AY$3,#REF!,"="&amp;'Contrato Marco'!$AY23),0)</f>
        <v>0</v>
      </c>
      <c r="BE23" s="29">
        <f>IFERROR(AVERAGEIFS(#REF!,#REF!,"="&amp;'Contrato Marco'!$AY$3,#REF!,"="&amp;'Contrato Marco'!$AY23),0)</f>
        <v>0</v>
      </c>
      <c r="BF23" s="34" t="str">
        <f>IF(SUM(AZ23:BE23)=0,"OJO","")</f>
        <v>OJO</v>
      </c>
      <c r="BG23" s="33"/>
      <c r="BH23" s="33"/>
      <c r="BI23" s="33"/>
      <c r="BJ23" s="33"/>
      <c r="BK23" s="33"/>
      <c r="BL23" s="33"/>
    </row>
    <row r="24" spans="2:64" ht="15.5" thickBot="1" x14ac:dyDescent="0.4">
      <c r="B24" s="15"/>
      <c r="X24" s="78"/>
      <c r="BG24" s="33"/>
      <c r="BH24" s="33"/>
      <c r="BI24" s="33"/>
      <c r="BJ24" s="33"/>
      <c r="BK24" s="33"/>
      <c r="BL24" s="33"/>
    </row>
    <row r="25" spans="2:64" x14ac:dyDescent="0.35">
      <c r="B25" s="15"/>
      <c r="E25" s="2" t="s">
        <v>33</v>
      </c>
      <c r="F25" s="3" t="s">
        <v>34</v>
      </c>
      <c r="G25" s="88" t="s">
        <v>36</v>
      </c>
      <c r="H25" s="88"/>
      <c r="I25" s="88"/>
      <c r="J25" s="88"/>
      <c r="K25" s="88"/>
      <c r="L25" s="89"/>
      <c r="N25" s="2" t="s">
        <v>33</v>
      </c>
      <c r="O25" s="3" t="s">
        <v>34</v>
      </c>
      <c r="P25" s="88" t="s">
        <v>36</v>
      </c>
      <c r="Q25" s="88"/>
      <c r="R25" s="88"/>
      <c r="S25" s="88"/>
      <c r="T25" s="88"/>
      <c r="U25" s="89"/>
      <c r="W25" s="2" t="s">
        <v>33</v>
      </c>
      <c r="X25" s="3" t="s">
        <v>34</v>
      </c>
      <c r="Y25" s="88" t="s">
        <v>35</v>
      </c>
      <c r="Z25" s="88"/>
      <c r="AA25" s="88"/>
      <c r="AB25" s="88"/>
      <c r="AC25" s="88"/>
      <c r="AD25" s="89"/>
      <c r="AF25" s="2" t="s">
        <v>33</v>
      </c>
      <c r="AG25" s="3" t="s">
        <v>34</v>
      </c>
      <c r="AH25" s="88" t="s">
        <v>35</v>
      </c>
      <c r="AI25" s="88"/>
      <c r="AJ25" s="88"/>
      <c r="AK25" s="88"/>
      <c r="AL25" s="88"/>
      <c r="AM25" s="89"/>
      <c r="AO25" s="2" t="s">
        <v>33</v>
      </c>
      <c r="AP25" s="3" t="s">
        <v>34</v>
      </c>
      <c r="AQ25" s="88" t="s">
        <v>35</v>
      </c>
      <c r="AR25" s="88"/>
      <c r="AS25" s="88"/>
      <c r="AT25" s="88"/>
      <c r="AU25" s="88"/>
      <c r="AV25" s="89"/>
      <c r="AX25" s="2" t="s">
        <v>33</v>
      </c>
      <c r="AY25" s="3" t="s">
        <v>34</v>
      </c>
      <c r="AZ25" s="88" t="s">
        <v>35</v>
      </c>
      <c r="BA25" s="88"/>
      <c r="BB25" s="88"/>
      <c r="BC25" s="88"/>
      <c r="BD25" s="88"/>
      <c r="BE25" s="89"/>
      <c r="BG25" s="33"/>
      <c r="BH25" s="33"/>
      <c r="BI25" s="33"/>
      <c r="BJ25" s="33"/>
      <c r="BK25" s="33"/>
      <c r="BL25" s="33"/>
    </row>
    <row r="26" spans="2:64" x14ac:dyDescent="0.35">
      <c r="B26" s="15"/>
      <c r="E26" s="24" t="s">
        <v>37</v>
      </c>
      <c r="F26" s="86" t="s">
        <v>38</v>
      </c>
      <c r="G26" s="86"/>
      <c r="H26" s="86"/>
      <c r="I26" s="86"/>
      <c r="J26" s="86"/>
      <c r="K26" s="86"/>
      <c r="L26" s="87"/>
      <c r="N26" s="24" t="s">
        <v>37</v>
      </c>
      <c r="O26" s="86" t="s">
        <v>38</v>
      </c>
      <c r="P26" s="86"/>
      <c r="Q26" s="86"/>
      <c r="R26" s="86"/>
      <c r="S26" s="86"/>
      <c r="T26" s="86"/>
      <c r="U26" s="87"/>
      <c r="W26" s="24" t="s">
        <v>37</v>
      </c>
      <c r="X26" s="86" t="s">
        <v>38</v>
      </c>
      <c r="Y26" s="86"/>
      <c r="Z26" s="86"/>
      <c r="AA26" s="86"/>
      <c r="AB26" s="86"/>
      <c r="AC26" s="86"/>
      <c r="AD26" s="87"/>
      <c r="AF26" s="24" t="s">
        <v>37</v>
      </c>
      <c r="AG26" s="86" t="s">
        <v>38</v>
      </c>
      <c r="AH26" s="86"/>
      <c r="AI26" s="86"/>
      <c r="AJ26" s="86"/>
      <c r="AK26" s="86"/>
      <c r="AL26" s="86"/>
      <c r="AM26" s="87"/>
      <c r="AO26" s="24" t="s">
        <v>37</v>
      </c>
      <c r="AP26" s="86" t="s">
        <v>38</v>
      </c>
      <c r="AQ26" s="86"/>
      <c r="AR26" s="86"/>
      <c r="AS26" s="86"/>
      <c r="AT26" s="86"/>
      <c r="AU26" s="86"/>
      <c r="AV26" s="87"/>
      <c r="AX26" s="24" t="s">
        <v>37</v>
      </c>
      <c r="AY26" s="86" t="s">
        <v>38</v>
      </c>
      <c r="AZ26" s="86"/>
      <c r="BA26" s="86"/>
      <c r="BB26" s="86"/>
      <c r="BC26" s="86"/>
      <c r="BD26" s="86"/>
      <c r="BE26" s="87"/>
      <c r="BG26" s="33"/>
      <c r="BH26" s="33"/>
      <c r="BI26" s="33"/>
      <c r="BJ26" s="33"/>
      <c r="BK26" s="33"/>
      <c r="BL26" s="33"/>
    </row>
    <row r="27" spans="2:64" x14ac:dyDescent="0.35">
      <c r="B27" s="15"/>
      <c r="E27" s="4" t="s">
        <v>0</v>
      </c>
      <c r="F27" s="5"/>
      <c r="G27" s="5" t="s">
        <v>1</v>
      </c>
      <c r="H27" s="5" t="s">
        <v>2</v>
      </c>
      <c r="I27" s="5" t="s">
        <v>3</v>
      </c>
      <c r="J27" s="5" t="s">
        <v>4</v>
      </c>
      <c r="K27" s="5" t="s">
        <v>5</v>
      </c>
      <c r="L27" s="6" t="s">
        <v>6</v>
      </c>
      <c r="N27" s="4" t="s">
        <v>0</v>
      </c>
      <c r="O27" s="5"/>
      <c r="P27" s="5" t="s">
        <v>1</v>
      </c>
      <c r="Q27" s="5" t="s">
        <v>2</v>
      </c>
      <c r="R27" s="5" t="s">
        <v>3</v>
      </c>
      <c r="S27" s="5" t="s">
        <v>4</v>
      </c>
      <c r="T27" s="5" t="s">
        <v>5</v>
      </c>
      <c r="U27" s="6" t="s">
        <v>6</v>
      </c>
      <c r="W27" s="4" t="s">
        <v>0</v>
      </c>
      <c r="X27" s="5"/>
      <c r="Y27" s="5" t="s">
        <v>1</v>
      </c>
      <c r="Z27" s="5" t="s">
        <v>2</v>
      </c>
      <c r="AA27" s="5" t="s">
        <v>3</v>
      </c>
      <c r="AB27" s="5" t="s">
        <v>4</v>
      </c>
      <c r="AC27" s="5" t="s">
        <v>5</v>
      </c>
      <c r="AD27" s="6" t="s">
        <v>6</v>
      </c>
      <c r="AF27" s="4" t="s">
        <v>0</v>
      </c>
      <c r="AG27" s="5"/>
      <c r="AH27" s="5" t="s">
        <v>1</v>
      </c>
      <c r="AI27" s="5" t="s">
        <v>2</v>
      </c>
      <c r="AJ27" s="5" t="s">
        <v>3</v>
      </c>
      <c r="AK27" s="5" t="s">
        <v>4</v>
      </c>
      <c r="AL27" s="5" t="s">
        <v>5</v>
      </c>
      <c r="AM27" s="6" t="s">
        <v>6</v>
      </c>
      <c r="AO27" s="4" t="s">
        <v>0</v>
      </c>
      <c r="AP27" s="5"/>
      <c r="AQ27" s="5" t="s">
        <v>1</v>
      </c>
      <c r="AR27" s="5" t="s">
        <v>2</v>
      </c>
      <c r="AS27" s="5" t="s">
        <v>3</v>
      </c>
      <c r="AT27" s="5" t="s">
        <v>4</v>
      </c>
      <c r="AU27" s="5" t="s">
        <v>5</v>
      </c>
      <c r="AV27" s="6" t="s">
        <v>6</v>
      </c>
      <c r="AX27" s="4" t="s">
        <v>0</v>
      </c>
      <c r="AY27" s="5"/>
      <c r="AZ27" s="5" t="s">
        <v>1</v>
      </c>
      <c r="BA27" s="5" t="s">
        <v>2</v>
      </c>
      <c r="BB27" s="5" t="s">
        <v>3</v>
      </c>
      <c r="BC27" s="5" t="s">
        <v>4</v>
      </c>
      <c r="BD27" s="5" t="s">
        <v>5</v>
      </c>
      <c r="BE27" s="6" t="s">
        <v>6</v>
      </c>
      <c r="BG27" s="33"/>
      <c r="BH27" s="33"/>
      <c r="BI27" s="33"/>
      <c r="BJ27" s="33"/>
      <c r="BK27" s="33"/>
      <c r="BL27" s="33"/>
    </row>
    <row r="28" spans="2:64" x14ac:dyDescent="0.35">
      <c r="E28" s="77" t="s">
        <v>40</v>
      </c>
      <c r="F28" s="7" t="s">
        <v>39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8">
        <v>0</v>
      </c>
      <c r="N28" s="4" t="s">
        <v>40</v>
      </c>
      <c r="O28" s="5" t="s">
        <v>39</v>
      </c>
      <c r="P28" s="7">
        <v>0.55500000000000005</v>
      </c>
      <c r="Q28" s="7">
        <v>0.55500000000000005</v>
      </c>
      <c r="R28" s="7">
        <v>0.55500000000000005</v>
      </c>
      <c r="S28" s="7">
        <v>0.55500000000000005</v>
      </c>
      <c r="T28" s="7">
        <v>0.55500000000000005</v>
      </c>
      <c r="U28" s="8">
        <v>0.55500000000000005</v>
      </c>
      <c r="W28" s="4" t="s">
        <v>40</v>
      </c>
      <c r="X28" s="5" t="s">
        <v>39</v>
      </c>
      <c r="Y28" s="7">
        <v>0.95299999999999996</v>
      </c>
      <c r="Z28" s="7">
        <v>0.95299999999999996</v>
      </c>
      <c r="AA28" s="7">
        <v>0.95299999999999996</v>
      </c>
      <c r="AB28" s="7">
        <v>0.95299999999999996</v>
      </c>
      <c r="AC28" s="7">
        <v>0.95299999999999996</v>
      </c>
      <c r="AD28" s="8">
        <v>0.95299999999999996</v>
      </c>
      <c r="AF28" s="4" t="s">
        <v>40</v>
      </c>
      <c r="AG28" s="5" t="s">
        <v>39</v>
      </c>
      <c r="AH28" s="7">
        <v>0</v>
      </c>
      <c r="AI28" s="7">
        <v>0</v>
      </c>
      <c r="AJ28" s="7">
        <v>0</v>
      </c>
      <c r="AK28" s="7">
        <v>0</v>
      </c>
      <c r="AL28" s="7">
        <v>0</v>
      </c>
      <c r="AM28" s="8">
        <v>0</v>
      </c>
      <c r="AO28" s="4" t="s">
        <v>40</v>
      </c>
      <c r="AP28" s="5" t="s">
        <v>39</v>
      </c>
      <c r="AQ28" s="7">
        <v>0</v>
      </c>
      <c r="AR28" s="7">
        <v>0</v>
      </c>
      <c r="AS28" s="7">
        <v>0</v>
      </c>
      <c r="AT28" s="7">
        <v>0</v>
      </c>
      <c r="AU28" s="7">
        <v>0</v>
      </c>
      <c r="AV28" s="8">
        <v>0</v>
      </c>
      <c r="AX28" s="4" t="s">
        <v>40</v>
      </c>
      <c r="AY28" s="5" t="s">
        <v>39</v>
      </c>
      <c r="AZ28" s="7">
        <v>0</v>
      </c>
      <c r="BA28" s="7">
        <v>0</v>
      </c>
      <c r="BB28" s="7">
        <v>0</v>
      </c>
      <c r="BC28" s="7">
        <v>0</v>
      </c>
      <c r="BD28" s="7">
        <v>0</v>
      </c>
      <c r="BE28" s="8">
        <v>0</v>
      </c>
      <c r="BG28" s="33"/>
      <c r="BH28" s="33"/>
      <c r="BI28" s="33"/>
      <c r="BJ28" s="33"/>
      <c r="BK28" s="33"/>
      <c r="BL28" s="33"/>
    </row>
    <row r="29" spans="2:64" x14ac:dyDescent="0.35">
      <c r="E29" s="77" t="s">
        <v>41</v>
      </c>
      <c r="F29" s="7" t="s">
        <v>39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8">
        <v>0</v>
      </c>
      <c r="N29" s="4" t="s">
        <v>41</v>
      </c>
      <c r="O29" s="5" t="s">
        <v>39</v>
      </c>
      <c r="P29" s="7">
        <v>1</v>
      </c>
      <c r="Q29" s="7">
        <v>1</v>
      </c>
      <c r="R29" s="7">
        <v>1</v>
      </c>
      <c r="S29" s="7">
        <v>1</v>
      </c>
      <c r="T29" s="7">
        <v>1</v>
      </c>
      <c r="U29" s="8">
        <v>1</v>
      </c>
      <c r="W29" s="4" t="s">
        <v>41</v>
      </c>
      <c r="X29" s="5" t="s">
        <v>39</v>
      </c>
      <c r="Y29" s="7">
        <v>0.8</v>
      </c>
      <c r="Z29" s="7">
        <v>0.8</v>
      </c>
      <c r="AA29" s="7">
        <v>0.8</v>
      </c>
      <c r="AB29" s="7">
        <v>0.8</v>
      </c>
      <c r="AC29" s="7">
        <v>0.8</v>
      </c>
      <c r="AD29" s="8">
        <v>0.8</v>
      </c>
      <c r="AF29" s="4" t="s">
        <v>41</v>
      </c>
      <c r="AG29" s="5" t="s">
        <v>39</v>
      </c>
      <c r="AH29" s="7">
        <v>0</v>
      </c>
      <c r="AI29" s="7">
        <v>0</v>
      </c>
      <c r="AJ29" s="7">
        <v>0</v>
      </c>
      <c r="AK29" s="7">
        <v>0</v>
      </c>
      <c r="AL29" s="7">
        <v>0</v>
      </c>
      <c r="AM29" s="8">
        <v>0</v>
      </c>
      <c r="AO29" s="4" t="s">
        <v>41</v>
      </c>
      <c r="AP29" s="5" t="s">
        <v>39</v>
      </c>
      <c r="AQ29" s="7">
        <v>0</v>
      </c>
      <c r="AR29" s="7">
        <v>0</v>
      </c>
      <c r="AS29" s="7">
        <v>0</v>
      </c>
      <c r="AT29" s="7">
        <v>0</v>
      </c>
      <c r="AU29" s="7">
        <v>0</v>
      </c>
      <c r="AV29" s="8">
        <v>0</v>
      </c>
      <c r="AX29" s="4" t="s">
        <v>41</v>
      </c>
      <c r="AY29" s="5" t="s">
        <v>39</v>
      </c>
      <c r="AZ29" s="7">
        <v>0</v>
      </c>
      <c r="BA29" s="7">
        <v>0</v>
      </c>
      <c r="BB29" s="7">
        <v>0</v>
      </c>
      <c r="BC29" s="7">
        <v>0</v>
      </c>
      <c r="BD29" s="7">
        <v>0</v>
      </c>
      <c r="BE29" s="8">
        <v>0</v>
      </c>
      <c r="BG29" s="33"/>
      <c r="BH29" s="33"/>
      <c r="BI29" s="33"/>
      <c r="BJ29" s="33"/>
      <c r="BK29" s="33"/>
      <c r="BL29" s="33"/>
    </row>
    <row r="30" spans="2:64" x14ac:dyDescent="0.35">
      <c r="E30" s="72" t="s">
        <v>43</v>
      </c>
      <c r="F30" s="70" t="s">
        <v>39</v>
      </c>
      <c r="G30" s="70">
        <v>1.5</v>
      </c>
      <c r="H30" s="70">
        <v>1.5</v>
      </c>
      <c r="I30" s="70">
        <v>1.5</v>
      </c>
      <c r="J30" s="70">
        <v>1.5</v>
      </c>
      <c r="K30" s="70">
        <v>1.5</v>
      </c>
      <c r="L30" s="71">
        <v>1.5</v>
      </c>
      <c r="N30" s="4" t="s">
        <v>43</v>
      </c>
      <c r="O30" s="5" t="s">
        <v>39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8">
        <v>0</v>
      </c>
      <c r="W30" s="4" t="s">
        <v>43</v>
      </c>
      <c r="X30" s="5" t="s">
        <v>39</v>
      </c>
      <c r="Y30" s="7"/>
      <c r="Z30" s="7"/>
      <c r="AA30" s="7"/>
      <c r="AB30" s="7"/>
      <c r="AC30" s="7"/>
      <c r="AD30" s="8"/>
      <c r="AF30" s="4" t="s">
        <v>43</v>
      </c>
      <c r="AG30" s="5" t="s">
        <v>39</v>
      </c>
      <c r="AH30" s="7">
        <v>0.8</v>
      </c>
      <c r="AI30" s="7">
        <v>0.8</v>
      </c>
      <c r="AJ30" s="7">
        <v>0.8</v>
      </c>
      <c r="AK30" s="7">
        <v>0.8</v>
      </c>
      <c r="AL30" s="7">
        <v>0.8</v>
      </c>
      <c r="AM30" s="8">
        <v>0.8</v>
      </c>
      <c r="AO30" s="4" t="s">
        <v>43</v>
      </c>
      <c r="AP30" s="5" t="s">
        <v>39</v>
      </c>
      <c r="AQ30" s="7">
        <v>0.8</v>
      </c>
      <c r="AR30" s="7">
        <v>0.8</v>
      </c>
      <c r="AS30" s="7">
        <v>0.8</v>
      </c>
      <c r="AT30" s="7">
        <v>0.8</v>
      </c>
      <c r="AU30" s="7">
        <v>0.8</v>
      </c>
      <c r="AV30" s="8">
        <v>0.8</v>
      </c>
      <c r="AX30" s="4" t="s">
        <v>43</v>
      </c>
      <c r="AY30" s="5" t="s">
        <v>39</v>
      </c>
      <c r="AZ30" s="7">
        <v>0.8</v>
      </c>
      <c r="BA30" s="7">
        <v>0.8</v>
      </c>
      <c r="BB30" s="7">
        <v>0.8</v>
      </c>
      <c r="BC30" s="7">
        <v>0.8</v>
      </c>
      <c r="BD30" s="7">
        <v>0.8</v>
      </c>
      <c r="BE30" s="8">
        <v>0.8</v>
      </c>
      <c r="BG30" s="33"/>
      <c r="BH30" s="33"/>
      <c r="BI30" s="33"/>
      <c r="BJ30" s="33"/>
      <c r="BK30" s="33"/>
      <c r="BL30" s="33"/>
    </row>
    <row r="31" spans="2:64" x14ac:dyDescent="0.35">
      <c r="E31" s="72" t="s">
        <v>44</v>
      </c>
      <c r="F31" s="70" t="s">
        <v>39</v>
      </c>
      <c r="G31" s="70">
        <v>0</v>
      </c>
      <c r="H31" s="70">
        <v>0</v>
      </c>
      <c r="I31" s="70">
        <v>0</v>
      </c>
      <c r="J31" s="70">
        <v>0</v>
      </c>
      <c r="K31" s="70">
        <v>0</v>
      </c>
      <c r="L31" s="71">
        <v>0</v>
      </c>
      <c r="N31" s="4" t="s">
        <v>44</v>
      </c>
      <c r="O31" s="5" t="s">
        <v>39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8">
        <v>0</v>
      </c>
      <c r="W31" s="4" t="s">
        <v>44</v>
      </c>
      <c r="X31" s="5" t="s">
        <v>39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  <c r="AD31" s="8">
        <v>0</v>
      </c>
      <c r="AF31" s="4" t="s">
        <v>44</v>
      </c>
      <c r="AG31" s="5" t="s">
        <v>39</v>
      </c>
      <c r="AH31" s="7">
        <v>0</v>
      </c>
      <c r="AI31" s="7">
        <v>0</v>
      </c>
      <c r="AJ31" s="7">
        <v>0</v>
      </c>
      <c r="AK31" s="7">
        <v>0</v>
      </c>
      <c r="AL31" s="7">
        <v>0</v>
      </c>
      <c r="AM31" s="8">
        <v>0</v>
      </c>
      <c r="AO31" s="4" t="s">
        <v>44</v>
      </c>
      <c r="AP31" s="5" t="s">
        <v>39</v>
      </c>
      <c r="AQ31" s="7">
        <v>0</v>
      </c>
      <c r="AR31" s="7">
        <v>0</v>
      </c>
      <c r="AS31" s="7">
        <v>0</v>
      </c>
      <c r="AT31" s="7">
        <v>0</v>
      </c>
      <c r="AU31" s="7">
        <v>0</v>
      </c>
      <c r="AV31" s="8">
        <v>0</v>
      </c>
      <c r="AX31" s="4" t="s">
        <v>44</v>
      </c>
      <c r="AY31" s="5" t="s">
        <v>39</v>
      </c>
      <c r="AZ31" s="7">
        <v>0</v>
      </c>
      <c r="BA31" s="7">
        <v>0</v>
      </c>
      <c r="BB31" s="7">
        <v>0</v>
      </c>
      <c r="BC31" s="7">
        <v>0</v>
      </c>
      <c r="BD31" s="7">
        <v>0</v>
      </c>
      <c r="BE31" s="8">
        <v>0</v>
      </c>
      <c r="BG31" s="33"/>
      <c r="BH31" s="33"/>
      <c r="BI31" s="33"/>
      <c r="BJ31" s="33"/>
      <c r="BK31" s="33"/>
      <c r="BL31" s="33"/>
    </row>
    <row r="32" spans="2:64" x14ac:dyDescent="0.35">
      <c r="E32" s="73" t="s">
        <v>45</v>
      </c>
      <c r="F32" s="74" t="s">
        <v>42</v>
      </c>
      <c r="G32" s="75">
        <v>0</v>
      </c>
      <c r="H32" s="75">
        <v>0</v>
      </c>
      <c r="I32" s="75">
        <v>0</v>
      </c>
      <c r="J32" s="75">
        <v>0</v>
      </c>
      <c r="K32" s="75">
        <v>0</v>
      </c>
      <c r="L32" s="76">
        <v>0</v>
      </c>
      <c r="N32" s="4" t="s">
        <v>45</v>
      </c>
      <c r="O32" s="5" t="s">
        <v>42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10">
        <v>0</v>
      </c>
      <c r="W32" s="4" t="s">
        <v>45</v>
      </c>
      <c r="X32" s="5" t="s">
        <v>42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10">
        <v>0</v>
      </c>
      <c r="AF32" s="4" t="s">
        <v>45</v>
      </c>
      <c r="AG32" s="5" t="s">
        <v>42</v>
      </c>
      <c r="AH32" s="9">
        <v>0</v>
      </c>
      <c r="AI32" s="9">
        <v>0</v>
      </c>
      <c r="AJ32" s="9">
        <v>0</v>
      </c>
      <c r="AK32" s="9">
        <v>0</v>
      </c>
      <c r="AL32" s="9">
        <v>0</v>
      </c>
      <c r="AM32" s="10">
        <v>0</v>
      </c>
      <c r="AO32" s="4" t="s">
        <v>45</v>
      </c>
      <c r="AP32" s="5" t="s">
        <v>42</v>
      </c>
      <c r="AQ32" s="9">
        <v>0</v>
      </c>
      <c r="AR32" s="9">
        <v>0</v>
      </c>
      <c r="AS32" s="9">
        <v>0</v>
      </c>
      <c r="AT32" s="9">
        <v>0</v>
      </c>
      <c r="AU32" s="9">
        <v>0</v>
      </c>
      <c r="AV32" s="10">
        <v>0</v>
      </c>
      <c r="AX32" s="4" t="s">
        <v>45</v>
      </c>
      <c r="AY32" s="5" t="s">
        <v>42</v>
      </c>
      <c r="AZ32" s="9">
        <v>0</v>
      </c>
      <c r="BA32" s="9">
        <v>0</v>
      </c>
      <c r="BB32" s="9">
        <v>0</v>
      </c>
      <c r="BC32" s="9">
        <v>0</v>
      </c>
      <c r="BD32" s="9">
        <v>0</v>
      </c>
      <c r="BE32" s="10">
        <v>0</v>
      </c>
      <c r="BG32" s="33"/>
      <c r="BH32" s="33"/>
      <c r="BI32" s="33"/>
      <c r="BJ32" s="33"/>
      <c r="BK32" s="33"/>
      <c r="BL32" s="33"/>
    </row>
    <row r="33" spans="4:64" x14ac:dyDescent="0.35">
      <c r="E33" s="73" t="s">
        <v>46</v>
      </c>
      <c r="F33" s="74" t="s">
        <v>42</v>
      </c>
      <c r="G33" s="75">
        <v>0</v>
      </c>
      <c r="H33" s="75">
        <v>0</v>
      </c>
      <c r="I33" s="75">
        <v>0</v>
      </c>
      <c r="J33" s="75">
        <v>0</v>
      </c>
      <c r="K33" s="75">
        <v>0</v>
      </c>
      <c r="L33" s="76">
        <v>0</v>
      </c>
      <c r="N33" s="4" t="s">
        <v>46</v>
      </c>
      <c r="O33" s="5" t="s">
        <v>42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10">
        <v>0</v>
      </c>
      <c r="W33" s="4" t="s">
        <v>46</v>
      </c>
      <c r="X33" s="5" t="s">
        <v>42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10">
        <v>0</v>
      </c>
      <c r="AF33" s="4" t="s">
        <v>46</v>
      </c>
      <c r="AG33" s="5" t="s">
        <v>42</v>
      </c>
      <c r="AH33" s="9">
        <v>0</v>
      </c>
      <c r="AI33" s="9">
        <v>0</v>
      </c>
      <c r="AJ33" s="9">
        <v>0</v>
      </c>
      <c r="AK33" s="9">
        <v>0</v>
      </c>
      <c r="AL33" s="9">
        <v>0</v>
      </c>
      <c r="AM33" s="10">
        <v>0</v>
      </c>
      <c r="AO33" s="4" t="s">
        <v>46</v>
      </c>
      <c r="AP33" s="5" t="s">
        <v>42</v>
      </c>
      <c r="AQ33" s="9">
        <v>0</v>
      </c>
      <c r="AR33" s="9">
        <v>0</v>
      </c>
      <c r="AS33" s="9">
        <v>0</v>
      </c>
      <c r="AT33" s="9">
        <v>0</v>
      </c>
      <c r="AU33" s="9">
        <v>0</v>
      </c>
      <c r="AV33" s="10">
        <v>0</v>
      </c>
      <c r="AX33" s="4" t="s">
        <v>46</v>
      </c>
      <c r="AY33" s="5" t="s">
        <v>42</v>
      </c>
      <c r="AZ33" s="9">
        <v>0</v>
      </c>
      <c r="BA33" s="9">
        <v>0</v>
      </c>
      <c r="BB33" s="9">
        <v>0</v>
      </c>
      <c r="BC33" s="9">
        <v>0</v>
      </c>
      <c r="BD33" s="9">
        <v>0</v>
      </c>
      <c r="BE33" s="10">
        <v>0</v>
      </c>
      <c r="BG33" s="33"/>
      <c r="BH33" s="33"/>
      <c r="BI33" s="33"/>
      <c r="BJ33" s="33"/>
      <c r="BK33" s="33"/>
      <c r="BL33" s="33"/>
    </row>
    <row r="34" spans="4:64" ht="15.5" thickBot="1" x14ac:dyDescent="0.4">
      <c r="G34" s="30"/>
      <c r="H34" s="30"/>
      <c r="I34" s="30"/>
      <c r="J34" s="30"/>
      <c r="K34" s="30"/>
      <c r="L34" s="30"/>
      <c r="P34" s="30"/>
      <c r="Q34" s="30"/>
      <c r="R34" s="30"/>
      <c r="S34" s="30"/>
      <c r="T34" s="30"/>
      <c r="U34" s="30"/>
      <c r="Y34" s="30"/>
      <c r="Z34" s="30"/>
      <c r="AA34" s="30"/>
      <c r="AB34" s="30"/>
      <c r="AC34" s="30"/>
      <c r="AD34" s="30"/>
      <c r="AH34" s="30"/>
      <c r="AI34" s="30"/>
      <c r="AJ34" s="30"/>
      <c r="AK34" s="30"/>
      <c r="AL34" s="30"/>
      <c r="AM34" s="30"/>
      <c r="AQ34" s="30"/>
      <c r="AR34" s="30"/>
      <c r="AS34" s="30"/>
      <c r="AT34" s="30"/>
      <c r="AU34" s="30"/>
      <c r="AV34" s="30"/>
      <c r="AZ34" s="30"/>
      <c r="BA34" s="30"/>
      <c r="BB34" s="30"/>
      <c r="BC34" s="30"/>
      <c r="BD34" s="30"/>
      <c r="BE34" s="30"/>
      <c r="BG34" s="33"/>
      <c r="BH34" s="33"/>
      <c r="BI34" s="33"/>
      <c r="BJ34" s="33"/>
      <c r="BK34" s="33"/>
      <c r="BL34" s="33"/>
    </row>
    <row r="35" spans="4:64" x14ac:dyDescent="0.35">
      <c r="D35" s="78"/>
      <c r="E35" s="2" t="s">
        <v>33</v>
      </c>
      <c r="F35" s="3" t="s">
        <v>53</v>
      </c>
      <c r="G35" s="84"/>
      <c r="H35" s="84"/>
      <c r="I35" s="84"/>
      <c r="J35" s="84"/>
      <c r="K35" s="84"/>
      <c r="L35" s="85"/>
      <c r="N35" s="2" t="s">
        <v>33</v>
      </c>
      <c r="O35" s="3" t="s">
        <v>53</v>
      </c>
      <c r="P35" s="84"/>
      <c r="Q35" s="84"/>
      <c r="R35" s="84"/>
      <c r="S35" s="84"/>
      <c r="T35" s="84"/>
      <c r="U35" s="85"/>
      <c r="W35" s="2" t="s">
        <v>33</v>
      </c>
      <c r="X35" s="3" t="s">
        <v>53</v>
      </c>
      <c r="Y35" s="84" t="s">
        <v>54</v>
      </c>
      <c r="Z35" s="84"/>
      <c r="AA35" s="84"/>
      <c r="AB35" s="84"/>
      <c r="AC35" s="84"/>
      <c r="AD35" s="85"/>
      <c r="AF35" s="2" t="s">
        <v>33</v>
      </c>
      <c r="AG35" s="3" t="s">
        <v>53</v>
      </c>
      <c r="AH35" s="84" t="s">
        <v>54</v>
      </c>
      <c r="AI35" s="84"/>
      <c r="AJ35" s="84"/>
      <c r="AK35" s="84"/>
      <c r="AL35" s="84"/>
      <c r="AM35" s="85"/>
      <c r="AO35" s="2" t="s">
        <v>33</v>
      </c>
      <c r="AP35" s="3" t="s">
        <v>53</v>
      </c>
      <c r="AQ35" s="84" t="s">
        <v>54</v>
      </c>
      <c r="AR35" s="84"/>
      <c r="AS35" s="84"/>
      <c r="AT35" s="84"/>
      <c r="AU35" s="84"/>
      <c r="AV35" s="85"/>
      <c r="AX35" s="2" t="s">
        <v>33</v>
      </c>
      <c r="AY35" s="3" t="s">
        <v>53</v>
      </c>
      <c r="AZ35" s="84" t="s">
        <v>54</v>
      </c>
      <c r="BA35" s="84"/>
      <c r="BB35" s="84"/>
      <c r="BC35" s="84"/>
      <c r="BD35" s="84"/>
      <c r="BE35" s="85"/>
      <c r="BG35" s="33"/>
      <c r="BH35" s="33"/>
      <c r="BI35" s="33"/>
      <c r="BJ35" s="33"/>
      <c r="BK35" s="33"/>
      <c r="BL35" s="33"/>
    </row>
    <row r="36" spans="4:64" x14ac:dyDescent="0.35">
      <c r="E36" s="24" t="s">
        <v>47</v>
      </c>
      <c r="F36" s="86" t="s">
        <v>48</v>
      </c>
      <c r="G36" s="86"/>
      <c r="H36" s="86"/>
      <c r="I36" s="86"/>
      <c r="J36" s="86"/>
      <c r="K36" s="86"/>
      <c r="L36" s="87"/>
      <c r="N36" s="24" t="s">
        <v>47</v>
      </c>
      <c r="O36" s="86" t="s">
        <v>48</v>
      </c>
      <c r="P36" s="86"/>
      <c r="Q36" s="86"/>
      <c r="R36" s="86"/>
      <c r="S36" s="86"/>
      <c r="T36" s="86"/>
      <c r="U36" s="87"/>
      <c r="W36" s="24" t="s">
        <v>47</v>
      </c>
      <c r="X36" s="86" t="s">
        <v>48</v>
      </c>
      <c r="Y36" s="86"/>
      <c r="Z36" s="86"/>
      <c r="AA36" s="86"/>
      <c r="AB36" s="86"/>
      <c r="AC36" s="86"/>
      <c r="AD36" s="87"/>
      <c r="AF36" s="24" t="s">
        <v>47</v>
      </c>
      <c r="AG36" s="86" t="s">
        <v>48</v>
      </c>
      <c r="AH36" s="86"/>
      <c r="AI36" s="86"/>
      <c r="AJ36" s="86"/>
      <c r="AK36" s="86"/>
      <c r="AL36" s="86"/>
      <c r="AM36" s="87"/>
      <c r="AO36" s="24" t="s">
        <v>47</v>
      </c>
      <c r="AP36" s="86" t="s">
        <v>48</v>
      </c>
      <c r="AQ36" s="86"/>
      <c r="AR36" s="86"/>
      <c r="AS36" s="86"/>
      <c r="AT36" s="86"/>
      <c r="AU36" s="86"/>
      <c r="AV36" s="87"/>
      <c r="AX36" s="24" t="s">
        <v>47</v>
      </c>
      <c r="AY36" s="86" t="s">
        <v>48</v>
      </c>
      <c r="AZ36" s="86"/>
      <c r="BA36" s="86"/>
      <c r="BB36" s="86"/>
      <c r="BC36" s="86"/>
      <c r="BD36" s="86"/>
      <c r="BE36" s="87"/>
      <c r="BG36" s="33"/>
      <c r="BH36" s="33"/>
      <c r="BI36" s="33"/>
      <c r="BJ36" s="33"/>
      <c r="BK36" s="33"/>
      <c r="BL36" s="33"/>
    </row>
    <row r="37" spans="4:64" x14ac:dyDescent="0.35">
      <c r="E37" s="4" t="s">
        <v>49</v>
      </c>
      <c r="F37" s="5" t="s">
        <v>39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6">
        <v>0</v>
      </c>
      <c r="N37" s="4" t="s">
        <v>49</v>
      </c>
      <c r="O37" s="5" t="s">
        <v>39</v>
      </c>
      <c r="P37" s="5"/>
      <c r="Q37" s="5"/>
      <c r="R37" s="5"/>
      <c r="S37" s="5"/>
      <c r="T37" s="5"/>
      <c r="U37" s="6"/>
      <c r="W37" s="4" t="s">
        <v>49</v>
      </c>
      <c r="X37" s="5" t="s">
        <v>39</v>
      </c>
      <c r="Y37" s="5"/>
      <c r="Z37" s="5"/>
      <c r="AA37" s="5"/>
      <c r="AB37" s="5"/>
      <c r="AC37" s="5"/>
      <c r="AD37" s="6"/>
      <c r="AF37" s="4" t="s">
        <v>49</v>
      </c>
      <c r="AG37" s="5" t="s">
        <v>39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6">
        <v>0</v>
      </c>
      <c r="AO37" s="4" t="s">
        <v>49</v>
      </c>
      <c r="AP37" s="5" t="s">
        <v>39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6">
        <v>0</v>
      </c>
      <c r="AX37" s="4" t="s">
        <v>49</v>
      </c>
      <c r="AY37" s="5" t="s">
        <v>39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6">
        <v>0</v>
      </c>
      <c r="BG37" s="33"/>
      <c r="BH37" s="33"/>
      <c r="BI37" s="33"/>
      <c r="BJ37" s="33"/>
      <c r="BK37" s="33"/>
      <c r="BL37" s="33"/>
    </row>
    <row r="38" spans="4:64" x14ac:dyDescent="0.35">
      <c r="D38" s="35"/>
      <c r="E38" s="4" t="s">
        <v>50</v>
      </c>
      <c r="F38" s="5" t="s">
        <v>42</v>
      </c>
      <c r="G38" s="19">
        <v>1.085</v>
      </c>
      <c r="H38" s="19">
        <v>1.0860000000000001</v>
      </c>
      <c r="I38" s="19">
        <v>1.077</v>
      </c>
      <c r="J38" s="19">
        <v>1.0760000000000001</v>
      </c>
      <c r="K38" s="19">
        <v>1.0649999999999999</v>
      </c>
      <c r="L38" s="20">
        <v>1.0980000000000001</v>
      </c>
      <c r="M38" s="35" t="str">
        <f>IF(SUM(G38:L38)=0,"OJO","")</f>
        <v/>
      </c>
      <c r="N38" s="4" t="s">
        <v>50</v>
      </c>
      <c r="O38" s="5" t="s">
        <v>42</v>
      </c>
      <c r="P38" s="19"/>
      <c r="Q38" s="19"/>
      <c r="R38" s="19"/>
      <c r="S38" s="19"/>
      <c r="T38" s="19"/>
      <c r="U38" s="20"/>
      <c r="V38" s="35" t="str">
        <f>IF(SUM(P38:U38)=0,"OJO","")</f>
        <v>OJO</v>
      </c>
      <c r="W38" s="4" t="s">
        <v>50</v>
      </c>
      <c r="X38" s="5" t="s">
        <v>42</v>
      </c>
      <c r="Y38" s="19"/>
      <c r="Z38" s="19"/>
      <c r="AA38" s="19"/>
      <c r="AB38" s="19"/>
      <c r="AC38" s="19"/>
      <c r="AD38" s="20"/>
      <c r="AE38" s="35" t="str">
        <f>IF(SUM(Y38:AD38)=0,"OJO","")</f>
        <v>OJO</v>
      </c>
      <c r="AF38" s="4" t="s">
        <v>50</v>
      </c>
      <c r="AG38" s="5" t="s">
        <v>42</v>
      </c>
      <c r="AH38" s="19">
        <f>IFERROR(AVERAGEIFS(#REF!,#REF!,"="&amp;$AG$3),0)</f>
        <v>0</v>
      </c>
      <c r="AI38" s="19">
        <f>IFERROR(AVERAGEIFS(#REF!,#REF!,"="&amp;$AG$3),0)</f>
        <v>0</v>
      </c>
      <c r="AJ38" s="19">
        <f>IFERROR(AVERAGEIFS(#REF!,#REF!,"="&amp;$AG$3),0)</f>
        <v>0</v>
      </c>
      <c r="AK38" s="19">
        <f>IFERROR(AVERAGEIFS(#REF!,#REF!,"="&amp;$AG$3),0)</f>
        <v>0</v>
      </c>
      <c r="AL38" s="19">
        <f>IFERROR(AVERAGEIFS(#REF!,#REF!,"="&amp;$AG$3),0)</f>
        <v>0</v>
      </c>
      <c r="AM38" s="20">
        <f>IFERROR(AVERAGEIFS(#REF!,#REF!,"="&amp;$AG$3),0)</f>
        <v>0</v>
      </c>
      <c r="AN38" s="35" t="str">
        <f>IF(SUM(AH38:AM38)=0,"OJO","")</f>
        <v>OJO</v>
      </c>
      <c r="AO38" s="4" t="s">
        <v>50</v>
      </c>
      <c r="AP38" s="5" t="s">
        <v>42</v>
      </c>
      <c r="AQ38" s="19">
        <f>IFERROR(AVERAGEIFS(#REF!,#REF!,"="&amp;$AP$3),0)</f>
        <v>0</v>
      </c>
      <c r="AR38" s="19">
        <f>IFERROR(AVERAGEIFS(#REF!,#REF!,"="&amp;$AP$3),0)</f>
        <v>0</v>
      </c>
      <c r="AS38" s="19">
        <f>IFERROR(AVERAGEIFS(#REF!,#REF!,"="&amp;$AP$3),0)</f>
        <v>0</v>
      </c>
      <c r="AT38" s="19">
        <f>IFERROR(AVERAGEIFS(#REF!,#REF!,"="&amp;$AP$3),0)</f>
        <v>0</v>
      </c>
      <c r="AU38" s="19">
        <f>IFERROR(AVERAGEIFS(#REF!,#REF!,"="&amp;$AP$3),0)</f>
        <v>0</v>
      </c>
      <c r="AV38" s="20">
        <f>IFERROR(AVERAGEIFS(#REF!,#REF!,"="&amp;$AP$3),0)</f>
        <v>0</v>
      </c>
      <c r="AW38" s="35" t="str">
        <f>IF(SUM(AQ38:AV38)=0,"OJO","")</f>
        <v>OJO</v>
      </c>
      <c r="AX38" s="4" t="s">
        <v>50</v>
      </c>
      <c r="AY38" s="5" t="s">
        <v>42</v>
      </c>
      <c r="AZ38" s="19">
        <f>IFERROR(AVERAGEIFS(#REF!,#REF!,"="&amp;$AY$3),0)</f>
        <v>0</v>
      </c>
      <c r="BA38" s="19">
        <f>IFERROR(AVERAGEIFS(#REF!,#REF!,"="&amp;$AY$3),0)</f>
        <v>0</v>
      </c>
      <c r="BB38" s="19">
        <f>IFERROR(AVERAGEIFS(#REF!,#REF!,"="&amp;$AY$3),0)</f>
        <v>0</v>
      </c>
      <c r="BC38" s="19">
        <f>IFERROR(AVERAGEIFS(#REF!,#REF!,"="&amp;$AY$3),0)</f>
        <v>0</v>
      </c>
      <c r="BD38" s="19">
        <f>IFERROR(AVERAGEIFS(#REF!,#REF!,"="&amp;$AY$3),0)</f>
        <v>0</v>
      </c>
      <c r="BE38" s="20">
        <f>IFERROR(AVERAGEIFS(#REF!,#REF!,"="&amp;$AY$3),0)</f>
        <v>0</v>
      </c>
      <c r="BF38" s="35" t="str">
        <f>IF(SUM(AZ38:BE38)=0,"OJO","")</f>
        <v>OJO</v>
      </c>
      <c r="BG38" s="33"/>
      <c r="BH38" s="33"/>
      <c r="BI38" s="33"/>
      <c r="BJ38" s="33"/>
      <c r="BK38" s="33"/>
      <c r="BL38" s="33"/>
    </row>
    <row r="39" spans="4:64" x14ac:dyDescent="0.35">
      <c r="D39" s="35"/>
      <c r="E39" s="4" t="s">
        <v>51</v>
      </c>
      <c r="F39" s="5" t="s">
        <v>39</v>
      </c>
      <c r="G39" s="5">
        <v>15.327</v>
      </c>
      <c r="H39" s="5">
        <v>14.85</v>
      </c>
      <c r="I39" s="5">
        <v>14.612</v>
      </c>
      <c r="J39" s="5">
        <v>14.54</v>
      </c>
      <c r="K39" s="5">
        <v>14.419</v>
      </c>
      <c r="L39" s="6">
        <v>14.555</v>
      </c>
      <c r="M39" s="35" t="str">
        <f>IF(SUM(G39:L39)=0,"OJO","")</f>
        <v/>
      </c>
      <c r="N39" s="4" t="s">
        <v>51</v>
      </c>
      <c r="O39" s="5" t="s">
        <v>39</v>
      </c>
      <c r="P39" s="5"/>
      <c r="Q39" s="5"/>
      <c r="R39" s="5"/>
      <c r="S39" s="5"/>
      <c r="T39" s="5"/>
      <c r="U39" s="6"/>
      <c r="V39" s="35" t="str">
        <f>IF(SUM(P39:U39)=0,"OJO","")</f>
        <v>OJO</v>
      </c>
      <c r="W39" s="4" t="s">
        <v>51</v>
      </c>
      <c r="X39" s="5" t="s">
        <v>39</v>
      </c>
      <c r="Y39" s="5"/>
      <c r="Z39" s="5"/>
      <c r="AA39" s="5"/>
      <c r="AB39" s="5"/>
      <c r="AC39" s="5"/>
      <c r="AD39" s="6"/>
      <c r="AE39" s="35" t="str">
        <f>IF(SUM(Y39:AD39)=0,"OJO","")</f>
        <v>OJO</v>
      </c>
      <c r="AF39" s="4" t="s">
        <v>51</v>
      </c>
      <c r="AG39" s="5" t="s">
        <v>39</v>
      </c>
      <c r="AH39" s="5">
        <f>IFERROR(AVERAGEIFS(#REF!,#REF!,"="&amp;$AG$3),0)</f>
        <v>0</v>
      </c>
      <c r="AI39" s="5">
        <f>IFERROR(AVERAGEIFS(#REF!,#REF!,"="&amp;$AG$3),0)</f>
        <v>0</v>
      </c>
      <c r="AJ39" s="5">
        <f>IFERROR(AVERAGEIFS(#REF!,#REF!,"="&amp;$AG$3),0)</f>
        <v>0</v>
      </c>
      <c r="AK39" s="5">
        <f>IFERROR(AVERAGEIFS(#REF!,#REF!,"="&amp;$AG$3),0)</f>
        <v>0</v>
      </c>
      <c r="AL39" s="5">
        <f>IFERROR(AVERAGEIFS(#REF!,#REF!,"="&amp;$AG$3),0)</f>
        <v>0</v>
      </c>
      <c r="AM39" s="6">
        <f>IFERROR(AVERAGEIFS(#REF!,#REF!,"="&amp;$AG$3),0)</f>
        <v>0</v>
      </c>
      <c r="AN39" s="35" t="str">
        <f>IF(SUM(AH39:AM39)=0,"OJO","")</f>
        <v>OJO</v>
      </c>
      <c r="AO39" s="4" t="s">
        <v>51</v>
      </c>
      <c r="AP39" s="5" t="s">
        <v>39</v>
      </c>
      <c r="AQ39" s="5">
        <f>IFERROR(AVERAGEIFS(#REF!,#REF!,"="&amp;$AP$3),0)</f>
        <v>0</v>
      </c>
      <c r="AR39" s="5">
        <f>IFERROR(AVERAGEIFS(#REF!,#REF!,"="&amp;$AP$3),0)</f>
        <v>0</v>
      </c>
      <c r="AS39" s="5">
        <f>IFERROR(AVERAGEIFS(#REF!,#REF!,"="&amp;$AP$3),0)</f>
        <v>0</v>
      </c>
      <c r="AT39" s="5">
        <f>IFERROR(AVERAGEIFS(#REF!,#REF!,"="&amp;$AP$3),0)</f>
        <v>0</v>
      </c>
      <c r="AU39" s="5">
        <f>IFERROR(AVERAGEIFS(#REF!,#REF!,"="&amp;$AP$3),0)</f>
        <v>0</v>
      </c>
      <c r="AV39" s="6">
        <f>IFERROR(AVERAGEIFS(#REF!,#REF!,"="&amp;$AP$3),0)</f>
        <v>0</v>
      </c>
      <c r="AW39" s="35" t="str">
        <f>IF(SUM(AQ39:AV39)=0,"OJO","")</f>
        <v>OJO</v>
      </c>
      <c r="AX39" s="4" t="s">
        <v>51</v>
      </c>
      <c r="AY39" s="5" t="s">
        <v>39</v>
      </c>
      <c r="AZ39" s="5">
        <f>IFERROR(AVERAGEIFS(#REF!,#REF!,"="&amp;$AY$3),0)</f>
        <v>0</v>
      </c>
      <c r="BA39" s="5">
        <f>IFERROR(AVERAGEIFS(#REF!,#REF!,"="&amp;$AY$3),0)</f>
        <v>0</v>
      </c>
      <c r="BB39" s="5">
        <f>IFERROR(AVERAGEIFS(#REF!,#REF!,"="&amp;$AY$3),0)</f>
        <v>0</v>
      </c>
      <c r="BC39" s="5">
        <f>IFERROR(AVERAGEIFS(#REF!,#REF!,"="&amp;$AY$3),0)</f>
        <v>0</v>
      </c>
      <c r="BD39" s="5">
        <f>IFERROR(AVERAGEIFS(#REF!,#REF!,"="&amp;$AY$3),0)</f>
        <v>0</v>
      </c>
      <c r="BE39" s="6">
        <f>IFERROR(AVERAGEIFS(#REF!,#REF!,"="&amp;$AY$3),0)</f>
        <v>0</v>
      </c>
      <c r="BF39" s="35" t="str">
        <f>IF(SUM(AZ39:BE39)=0,"OJO","")</f>
        <v>OJO</v>
      </c>
      <c r="BG39" s="33"/>
      <c r="BH39" s="33"/>
      <c r="BI39" s="33"/>
      <c r="BJ39" s="33"/>
      <c r="BK39" s="33"/>
      <c r="BL39" s="33"/>
    </row>
    <row r="40" spans="4:64" x14ac:dyDescent="0.35">
      <c r="E40" s="4" t="s">
        <v>52</v>
      </c>
      <c r="F40" s="5" t="s">
        <v>42</v>
      </c>
      <c r="G40" s="5"/>
      <c r="H40" s="5"/>
      <c r="I40" s="5"/>
      <c r="J40" s="5"/>
      <c r="K40" s="5"/>
      <c r="L40" s="6"/>
      <c r="N40" s="4" t="s">
        <v>52</v>
      </c>
      <c r="O40" s="5" t="s">
        <v>42</v>
      </c>
      <c r="P40" s="5"/>
      <c r="Q40" s="5"/>
      <c r="R40" s="5"/>
      <c r="S40" s="5"/>
      <c r="T40" s="5"/>
      <c r="U40" s="6"/>
      <c r="W40" s="4" t="s">
        <v>52</v>
      </c>
      <c r="X40" s="5" t="s">
        <v>42</v>
      </c>
      <c r="Y40" s="5"/>
      <c r="Z40" s="5"/>
      <c r="AA40" s="5"/>
      <c r="AB40" s="5"/>
      <c r="AC40" s="5"/>
      <c r="AD40" s="6"/>
      <c r="AF40" s="4" t="s">
        <v>52</v>
      </c>
      <c r="AG40" s="5" t="s">
        <v>42</v>
      </c>
      <c r="AH40" s="5">
        <v>1</v>
      </c>
      <c r="AI40" s="5">
        <v>1</v>
      </c>
      <c r="AJ40" s="5">
        <v>1</v>
      </c>
      <c r="AK40" s="5">
        <v>1</v>
      </c>
      <c r="AL40" s="5">
        <v>1</v>
      </c>
      <c r="AM40" s="6">
        <v>1</v>
      </c>
      <c r="AO40" s="4" t="s">
        <v>52</v>
      </c>
      <c r="AP40" s="5" t="s">
        <v>42</v>
      </c>
      <c r="AQ40" s="5">
        <v>1</v>
      </c>
      <c r="AR40" s="5">
        <v>1</v>
      </c>
      <c r="AS40" s="5">
        <v>1</v>
      </c>
      <c r="AT40" s="5">
        <v>1</v>
      </c>
      <c r="AU40" s="5">
        <v>1</v>
      </c>
      <c r="AV40" s="6">
        <v>1</v>
      </c>
      <c r="AX40" s="4" t="s">
        <v>52</v>
      </c>
      <c r="AY40" s="5" t="s">
        <v>42</v>
      </c>
      <c r="AZ40" s="5">
        <v>1</v>
      </c>
      <c r="BA40" s="5">
        <v>1</v>
      </c>
      <c r="BB40" s="5">
        <v>1</v>
      </c>
      <c r="BC40" s="5">
        <v>1</v>
      </c>
      <c r="BD40" s="5">
        <v>1</v>
      </c>
      <c r="BE40" s="6">
        <v>1</v>
      </c>
      <c r="BG40" s="33"/>
      <c r="BH40" s="33"/>
      <c r="BI40" s="33"/>
      <c r="BJ40" s="33"/>
      <c r="BK40" s="33"/>
      <c r="BL40" s="33"/>
    </row>
    <row r="41" spans="4:64" ht="15.5" thickBot="1" x14ac:dyDescent="0.4">
      <c r="BG41" s="33"/>
      <c r="BH41" s="33"/>
      <c r="BI41" s="33"/>
      <c r="BJ41" s="33"/>
      <c r="BK41" s="33"/>
      <c r="BL41" s="33"/>
    </row>
    <row r="42" spans="4:64" x14ac:dyDescent="0.35">
      <c r="E42" s="2" t="s">
        <v>33</v>
      </c>
      <c r="F42" s="3" t="s">
        <v>56</v>
      </c>
      <c r="G42" s="84"/>
      <c r="H42" s="84"/>
      <c r="I42" s="84"/>
      <c r="J42" s="84"/>
      <c r="K42" s="84"/>
      <c r="L42" s="85"/>
      <c r="N42" s="2" t="s">
        <v>33</v>
      </c>
      <c r="O42" s="3" t="s">
        <v>56</v>
      </c>
      <c r="P42" s="84"/>
      <c r="Q42" s="84"/>
      <c r="R42" s="84"/>
      <c r="S42" s="84"/>
      <c r="T42" s="84"/>
      <c r="U42" s="85"/>
      <c r="W42" s="2" t="s">
        <v>33</v>
      </c>
      <c r="X42" s="3" t="s">
        <v>56</v>
      </c>
      <c r="Y42" s="84"/>
      <c r="Z42" s="84"/>
      <c r="AA42" s="84"/>
      <c r="AB42" s="84"/>
      <c r="AC42" s="84"/>
      <c r="AD42" s="85"/>
      <c r="AF42" s="2" t="s">
        <v>33</v>
      </c>
      <c r="AG42" s="3" t="s">
        <v>56</v>
      </c>
      <c r="AH42" s="84"/>
      <c r="AI42" s="84"/>
      <c r="AJ42" s="84"/>
      <c r="AK42" s="84"/>
      <c r="AL42" s="84"/>
      <c r="AM42" s="85"/>
      <c r="AO42" s="2" t="s">
        <v>33</v>
      </c>
      <c r="AP42" s="3" t="s">
        <v>56</v>
      </c>
      <c r="AQ42" s="84"/>
      <c r="AR42" s="84"/>
      <c r="AS42" s="84"/>
      <c r="AT42" s="84"/>
      <c r="AU42" s="84"/>
      <c r="AV42" s="85"/>
      <c r="AX42" s="2" t="s">
        <v>33</v>
      </c>
      <c r="AY42" s="3" t="s">
        <v>56</v>
      </c>
      <c r="AZ42" s="84"/>
      <c r="BA42" s="84"/>
      <c r="BB42" s="84"/>
      <c r="BC42" s="84"/>
      <c r="BD42" s="84"/>
      <c r="BE42" s="85"/>
      <c r="BG42" s="33"/>
      <c r="BH42" s="33"/>
      <c r="BI42" s="33"/>
      <c r="BJ42" s="33"/>
      <c r="BK42" s="33"/>
      <c r="BL42" s="33"/>
    </row>
    <row r="43" spans="4:64" x14ac:dyDescent="0.35">
      <c r="E43" s="24" t="s">
        <v>37</v>
      </c>
      <c r="F43" s="86" t="s">
        <v>57</v>
      </c>
      <c r="G43" s="86"/>
      <c r="H43" s="86"/>
      <c r="I43" s="86"/>
      <c r="J43" s="86"/>
      <c r="K43" s="86"/>
      <c r="L43" s="87"/>
      <c r="N43" s="24" t="s">
        <v>37</v>
      </c>
      <c r="O43" s="86" t="s">
        <v>57</v>
      </c>
      <c r="P43" s="86"/>
      <c r="Q43" s="86"/>
      <c r="R43" s="86"/>
      <c r="S43" s="86"/>
      <c r="T43" s="86"/>
      <c r="U43" s="87"/>
      <c r="W43" s="24" t="s">
        <v>37</v>
      </c>
      <c r="X43" s="86" t="s">
        <v>57</v>
      </c>
      <c r="Y43" s="86"/>
      <c r="Z43" s="86"/>
      <c r="AA43" s="86"/>
      <c r="AB43" s="86"/>
      <c r="AC43" s="86"/>
      <c r="AD43" s="87"/>
      <c r="AF43" s="24" t="s">
        <v>37</v>
      </c>
      <c r="AG43" s="86" t="s">
        <v>57</v>
      </c>
      <c r="AH43" s="86"/>
      <c r="AI43" s="86"/>
      <c r="AJ43" s="86"/>
      <c r="AK43" s="86"/>
      <c r="AL43" s="86"/>
      <c r="AM43" s="87"/>
      <c r="AO43" s="24" t="s">
        <v>37</v>
      </c>
      <c r="AP43" s="86" t="s">
        <v>57</v>
      </c>
      <c r="AQ43" s="86"/>
      <c r="AR43" s="86"/>
      <c r="AS43" s="86"/>
      <c r="AT43" s="86"/>
      <c r="AU43" s="86"/>
      <c r="AV43" s="87"/>
      <c r="AX43" s="24" t="s">
        <v>37</v>
      </c>
      <c r="AY43" s="86" t="s">
        <v>57</v>
      </c>
      <c r="AZ43" s="86"/>
      <c r="BA43" s="86"/>
      <c r="BB43" s="86"/>
      <c r="BC43" s="86"/>
      <c r="BD43" s="86"/>
      <c r="BE43" s="87"/>
      <c r="BG43" s="33"/>
      <c r="BH43" s="33"/>
      <c r="BI43" s="33"/>
      <c r="BJ43" s="33"/>
      <c r="BK43" s="33"/>
      <c r="BL43" s="33"/>
    </row>
    <row r="44" spans="4:64" x14ac:dyDescent="0.35">
      <c r="E44" s="4" t="s">
        <v>55</v>
      </c>
      <c r="F44" s="5" t="s">
        <v>39</v>
      </c>
      <c r="G44" s="26" t="s">
        <v>1</v>
      </c>
      <c r="H44" s="26" t="s">
        <v>2</v>
      </c>
      <c r="I44" s="26" t="s">
        <v>3</v>
      </c>
      <c r="J44" s="26" t="s">
        <v>4</v>
      </c>
      <c r="K44" s="26" t="s">
        <v>5</v>
      </c>
      <c r="L44" s="27" t="s">
        <v>6</v>
      </c>
      <c r="N44" s="4" t="s">
        <v>55</v>
      </c>
      <c r="O44" s="5" t="s">
        <v>39</v>
      </c>
      <c r="P44" s="26" t="s">
        <v>1</v>
      </c>
      <c r="Q44" s="26" t="s">
        <v>2</v>
      </c>
      <c r="R44" s="26" t="s">
        <v>3</v>
      </c>
      <c r="S44" s="26" t="s">
        <v>4</v>
      </c>
      <c r="T44" s="26" t="s">
        <v>5</v>
      </c>
      <c r="U44" s="27" t="s">
        <v>6</v>
      </c>
      <c r="W44" s="4" t="s">
        <v>55</v>
      </c>
      <c r="X44" s="5" t="s">
        <v>39</v>
      </c>
      <c r="Y44" s="26" t="s">
        <v>1</v>
      </c>
      <c r="Z44" s="26" t="s">
        <v>2</v>
      </c>
      <c r="AA44" s="26" t="s">
        <v>3</v>
      </c>
      <c r="AB44" s="26" t="s">
        <v>4</v>
      </c>
      <c r="AC44" s="26" t="s">
        <v>5</v>
      </c>
      <c r="AD44" s="27" t="s">
        <v>6</v>
      </c>
      <c r="AF44" s="4" t="s">
        <v>55</v>
      </c>
      <c r="AG44" s="5" t="s">
        <v>39</v>
      </c>
      <c r="AH44" s="26" t="s">
        <v>1</v>
      </c>
      <c r="AI44" s="26" t="s">
        <v>2</v>
      </c>
      <c r="AJ44" s="26" t="s">
        <v>3</v>
      </c>
      <c r="AK44" s="26" t="s">
        <v>4</v>
      </c>
      <c r="AL44" s="26" t="s">
        <v>5</v>
      </c>
      <c r="AM44" s="27" t="s">
        <v>6</v>
      </c>
      <c r="AO44" s="4" t="s">
        <v>55</v>
      </c>
      <c r="AP44" s="5" t="s">
        <v>39</v>
      </c>
      <c r="AQ44" s="26" t="s">
        <v>1</v>
      </c>
      <c r="AR44" s="26" t="s">
        <v>2</v>
      </c>
      <c r="AS44" s="26" t="s">
        <v>3</v>
      </c>
      <c r="AT44" s="26" t="s">
        <v>4</v>
      </c>
      <c r="AU44" s="26" t="s">
        <v>5</v>
      </c>
      <c r="AV44" s="27" t="s">
        <v>6</v>
      </c>
      <c r="AX44" s="4" t="s">
        <v>55</v>
      </c>
      <c r="AY44" s="5" t="s">
        <v>39</v>
      </c>
      <c r="AZ44" s="26" t="s">
        <v>1</v>
      </c>
      <c r="BA44" s="26" t="s">
        <v>2</v>
      </c>
      <c r="BB44" s="26" t="s">
        <v>3</v>
      </c>
      <c r="BC44" s="26" t="s">
        <v>4</v>
      </c>
      <c r="BD44" s="26" t="s">
        <v>5</v>
      </c>
      <c r="BE44" s="27" t="s">
        <v>6</v>
      </c>
      <c r="BG44" s="33"/>
      <c r="BH44" s="33"/>
      <c r="BI44" s="33"/>
      <c r="BJ44" s="33"/>
      <c r="BK44" s="33"/>
      <c r="BL44" s="33"/>
    </row>
    <row r="45" spans="4:64" x14ac:dyDescent="0.35">
      <c r="E45" s="4"/>
      <c r="F45" s="5" t="s">
        <v>9</v>
      </c>
      <c r="G45" s="7">
        <v>153.27000000000001</v>
      </c>
      <c r="H45" s="7">
        <v>148.5</v>
      </c>
      <c r="I45" s="7">
        <v>146.12</v>
      </c>
      <c r="J45" s="7">
        <v>145.39999999999998</v>
      </c>
      <c r="K45" s="7">
        <v>144.19</v>
      </c>
      <c r="L45" s="8">
        <v>145.55000000000001</v>
      </c>
      <c r="N45" s="4"/>
      <c r="O45" s="5" t="s">
        <v>9</v>
      </c>
      <c r="P45" s="7">
        <v>153.27000000000001</v>
      </c>
      <c r="Q45" s="7">
        <v>148.5</v>
      </c>
      <c r="R45" s="7">
        <v>146.12</v>
      </c>
      <c r="S45" s="7">
        <v>145.39999999999998</v>
      </c>
      <c r="T45" s="7">
        <v>144.19</v>
      </c>
      <c r="U45" s="8">
        <v>145.55000000000001</v>
      </c>
      <c r="W45" s="4"/>
      <c r="X45" s="5" t="s">
        <v>9</v>
      </c>
      <c r="Y45" s="7">
        <v>153.27000000000001</v>
      </c>
      <c r="Z45" s="7">
        <v>148.5</v>
      </c>
      <c r="AA45" s="7">
        <v>146.12</v>
      </c>
      <c r="AB45" s="7">
        <v>145.39999999999998</v>
      </c>
      <c r="AC45" s="7">
        <v>144.19</v>
      </c>
      <c r="AD45" s="8">
        <v>145.55000000000001</v>
      </c>
      <c r="AF45" s="4"/>
      <c r="AG45" s="5" t="s">
        <v>9</v>
      </c>
      <c r="AH45" s="7">
        <v>153.27000000000001</v>
      </c>
      <c r="AI45" s="7">
        <v>148.5</v>
      </c>
      <c r="AJ45" s="7">
        <v>146.12</v>
      </c>
      <c r="AK45" s="7">
        <v>145.39999999999998</v>
      </c>
      <c r="AL45" s="7">
        <v>144.19</v>
      </c>
      <c r="AM45" s="8">
        <v>145.55000000000001</v>
      </c>
      <c r="AO45" s="4"/>
      <c r="AP45" s="5" t="s">
        <v>9</v>
      </c>
      <c r="AQ45" s="7">
        <v>153.27000000000001</v>
      </c>
      <c r="AR45" s="7">
        <v>148.5</v>
      </c>
      <c r="AS45" s="7">
        <v>146.12</v>
      </c>
      <c r="AT45" s="7">
        <v>145.39999999999998</v>
      </c>
      <c r="AU45" s="7">
        <v>144.19</v>
      </c>
      <c r="AV45" s="8">
        <v>145.55000000000001</v>
      </c>
      <c r="AX45" s="4"/>
      <c r="AY45" s="5" t="s">
        <v>9</v>
      </c>
      <c r="AZ45" s="7">
        <v>153.27000000000001</v>
      </c>
      <c r="BA45" s="7">
        <v>148.5</v>
      </c>
      <c r="BB45" s="7">
        <v>146.12</v>
      </c>
      <c r="BC45" s="7">
        <v>145.39999999999998</v>
      </c>
      <c r="BD45" s="7">
        <v>144.19</v>
      </c>
      <c r="BE45" s="8">
        <v>145.55000000000001</v>
      </c>
      <c r="BG45" s="33"/>
      <c r="BH45" s="33"/>
      <c r="BI45" s="33"/>
      <c r="BJ45" s="33"/>
      <c r="BK45" s="33"/>
      <c r="BL45" s="33"/>
    </row>
    <row r="46" spans="4:64" x14ac:dyDescent="0.35">
      <c r="E46" s="4" t="s">
        <v>58</v>
      </c>
      <c r="F46" s="7" t="s">
        <v>59</v>
      </c>
      <c r="G46" s="31"/>
      <c r="H46" s="31"/>
      <c r="I46" s="31"/>
      <c r="J46" s="31"/>
      <c r="K46" s="31"/>
      <c r="L46" s="32"/>
      <c r="N46" s="4" t="s">
        <v>58</v>
      </c>
      <c r="O46" s="7" t="s">
        <v>59</v>
      </c>
      <c r="P46" s="31"/>
      <c r="Q46" s="31"/>
      <c r="R46" s="31"/>
      <c r="S46" s="31"/>
      <c r="T46" s="31"/>
      <c r="U46" s="32"/>
      <c r="W46" s="4" t="s">
        <v>58</v>
      </c>
      <c r="X46" s="7" t="s">
        <v>59</v>
      </c>
      <c r="Y46" s="31"/>
      <c r="Z46" s="31"/>
      <c r="AA46" s="31"/>
      <c r="AB46" s="31"/>
      <c r="AC46" s="31"/>
      <c r="AD46" s="32"/>
      <c r="AF46" s="4" t="s">
        <v>58</v>
      </c>
      <c r="AG46" s="7" t="s">
        <v>59</v>
      </c>
      <c r="AH46" s="31"/>
      <c r="AI46" s="31"/>
      <c r="AJ46" s="31"/>
      <c r="AK46" s="31"/>
      <c r="AL46" s="31"/>
      <c r="AM46" s="32"/>
      <c r="AO46" s="4" t="s">
        <v>58</v>
      </c>
      <c r="AP46" s="7" t="s">
        <v>59</v>
      </c>
      <c r="AQ46" s="31"/>
      <c r="AR46" s="31"/>
      <c r="AS46" s="31"/>
      <c r="AT46" s="31"/>
      <c r="AU46" s="31"/>
      <c r="AV46" s="32"/>
      <c r="AX46" s="4" t="s">
        <v>58</v>
      </c>
      <c r="AY46" s="7" t="s">
        <v>59</v>
      </c>
      <c r="AZ46" s="31"/>
      <c r="BA46" s="31"/>
      <c r="BB46" s="31"/>
      <c r="BC46" s="31"/>
      <c r="BD46" s="31"/>
      <c r="BE46" s="32"/>
      <c r="BG46" s="33"/>
      <c r="BH46" s="33"/>
      <c r="BI46" s="33"/>
      <c r="BJ46" s="33"/>
      <c r="BK46" s="33"/>
      <c r="BL46" s="33"/>
    </row>
    <row r="47" spans="4:64" x14ac:dyDescent="0.35">
      <c r="E47" s="24" t="s">
        <v>47</v>
      </c>
      <c r="F47" s="86" t="s">
        <v>48</v>
      </c>
      <c r="G47" s="86"/>
      <c r="H47" s="86"/>
      <c r="I47" s="86"/>
      <c r="J47" s="86"/>
      <c r="K47" s="86"/>
      <c r="L47" s="87"/>
      <c r="N47" s="24" t="s">
        <v>47</v>
      </c>
      <c r="O47" s="86" t="s">
        <v>48</v>
      </c>
      <c r="P47" s="86"/>
      <c r="Q47" s="86"/>
      <c r="R47" s="86"/>
      <c r="S47" s="86"/>
      <c r="T47" s="86"/>
      <c r="U47" s="87"/>
      <c r="W47" s="24" t="s">
        <v>47</v>
      </c>
      <c r="X47" s="86" t="s">
        <v>48</v>
      </c>
      <c r="Y47" s="86"/>
      <c r="Z47" s="86"/>
      <c r="AA47" s="86"/>
      <c r="AB47" s="86"/>
      <c r="AC47" s="86"/>
      <c r="AD47" s="87"/>
      <c r="AF47" s="24" t="s">
        <v>47</v>
      </c>
      <c r="AG47" s="86" t="s">
        <v>48</v>
      </c>
      <c r="AH47" s="86"/>
      <c r="AI47" s="86"/>
      <c r="AJ47" s="86"/>
      <c r="AK47" s="86"/>
      <c r="AL47" s="86"/>
      <c r="AM47" s="87"/>
      <c r="AO47" s="24" t="s">
        <v>47</v>
      </c>
      <c r="AP47" s="86" t="s">
        <v>48</v>
      </c>
      <c r="AQ47" s="86"/>
      <c r="AR47" s="86"/>
      <c r="AS47" s="86"/>
      <c r="AT47" s="86"/>
      <c r="AU47" s="86"/>
      <c r="AV47" s="87"/>
      <c r="AX47" s="24" t="s">
        <v>47</v>
      </c>
      <c r="AY47" s="86" t="s">
        <v>48</v>
      </c>
      <c r="AZ47" s="86"/>
      <c r="BA47" s="86"/>
      <c r="BB47" s="86"/>
      <c r="BC47" s="86"/>
      <c r="BD47" s="86"/>
      <c r="BE47" s="87"/>
      <c r="BG47" s="33"/>
      <c r="BH47" s="33"/>
      <c r="BI47" s="33"/>
      <c r="BJ47" s="33"/>
      <c r="BK47" s="33"/>
      <c r="BL47" s="33"/>
    </row>
    <row r="48" spans="4:64" x14ac:dyDescent="0.35">
      <c r="E48" s="4" t="s">
        <v>49</v>
      </c>
      <c r="F48" s="5" t="s">
        <v>39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6">
        <v>0</v>
      </c>
      <c r="N48" s="4" t="s">
        <v>49</v>
      </c>
      <c r="O48" s="5" t="s">
        <v>39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W48" s="4" t="s">
        <v>49</v>
      </c>
      <c r="X48" s="5" t="s">
        <v>39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6">
        <v>0</v>
      </c>
      <c r="AF48" s="4" t="s">
        <v>49</v>
      </c>
      <c r="AG48" s="5" t="s">
        <v>39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6">
        <v>0</v>
      </c>
      <c r="AO48" s="4" t="s">
        <v>49</v>
      </c>
      <c r="AP48" s="5" t="s">
        <v>39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6">
        <v>0</v>
      </c>
      <c r="AX48" s="4" t="s">
        <v>49</v>
      </c>
      <c r="AY48" s="5" t="s">
        <v>39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6">
        <v>0</v>
      </c>
      <c r="BG48" s="33"/>
      <c r="BH48" s="33"/>
      <c r="BI48" s="33"/>
      <c r="BJ48" s="33"/>
      <c r="BK48" s="33"/>
      <c r="BL48" s="33"/>
    </row>
    <row r="49" spans="5:64" x14ac:dyDescent="0.35">
      <c r="E49" s="4" t="s">
        <v>50</v>
      </c>
      <c r="F49" s="5" t="s">
        <v>42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6">
        <v>0</v>
      </c>
      <c r="N49" s="4" t="s">
        <v>50</v>
      </c>
      <c r="O49" s="5" t="s">
        <v>42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W49" s="4" t="s">
        <v>50</v>
      </c>
      <c r="X49" s="5" t="s">
        <v>42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6">
        <v>0</v>
      </c>
      <c r="AF49" s="4" t="s">
        <v>50</v>
      </c>
      <c r="AG49" s="5" t="s">
        <v>42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6">
        <v>0</v>
      </c>
      <c r="AO49" s="4" t="s">
        <v>50</v>
      </c>
      <c r="AP49" s="5" t="s">
        <v>42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6">
        <v>0</v>
      </c>
      <c r="AX49" s="4" t="s">
        <v>50</v>
      </c>
      <c r="AY49" s="5" t="s">
        <v>42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6">
        <v>0</v>
      </c>
      <c r="BG49" s="33"/>
      <c r="BH49" s="33"/>
      <c r="BI49" s="33"/>
      <c r="BJ49" s="33"/>
      <c r="BK49" s="33"/>
      <c r="BL49" s="33"/>
    </row>
    <row r="50" spans="5:64" x14ac:dyDescent="0.35">
      <c r="E50" s="4" t="s">
        <v>51</v>
      </c>
      <c r="F50" s="5" t="s">
        <v>39</v>
      </c>
      <c r="G50" s="5">
        <f t="shared" ref="G50:L50" si="0">IFERROR(AVERAGEIFS(G$45:G$45,$F$45:$F$45,"="&amp;$F$3),0)</f>
        <v>153.27000000000001</v>
      </c>
      <c r="H50" s="5">
        <f t="shared" si="0"/>
        <v>148.5</v>
      </c>
      <c r="I50" s="5">
        <f t="shared" si="0"/>
        <v>146.12</v>
      </c>
      <c r="J50" s="5">
        <f t="shared" si="0"/>
        <v>145.39999999999998</v>
      </c>
      <c r="K50" s="5">
        <f t="shared" si="0"/>
        <v>144.19</v>
      </c>
      <c r="L50" s="6">
        <f t="shared" si="0"/>
        <v>145.55000000000001</v>
      </c>
      <c r="N50" s="4" t="s">
        <v>51</v>
      </c>
      <c r="O50" s="5" t="s">
        <v>39</v>
      </c>
      <c r="P50" s="5">
        <f t="shared" ref="P50:U50" si="1">IFERROR(AVERAGEIFS(P$45:P$45,$F$45:$F$45,"="&amp;$F$3),0)</f>
        <v>153.27000000000001</v>
      </c>
      <c r="Q50" s="5">
        <f t="shared" si="1"/>
        <v>148.5</v>
      </c>
      <c r="R50" s="5">
        <f t="shared" si="1"/>
        <v>146.12</v>
      </c>
      <c r="S50" s="5">
        <f t="shared" si="1"/>
        <v>145.39999999999998</v>
      </c>
      <c r="T50" s="5">
        <f t="shared" si="1"/>
        <v>144.19</v>
      </c>
      <c r="U50" s="6">
        <f t="shared" si="1"/>
        <v>145.55000000000001</v>
      </c>
      <c r="W50" s="4" t="s">
        <v>51</v>
      </c>
      <c r="X50" s="5" t="s">
        <v>39</v>
      </c>
      <c r="Y50" s="5">
        <f t="shared" ref="Y50:AD50" si="2">IFERROR(AVERAGEIFS(Y$45:Y$45,$X$45:$X$45,"="&amp;$X$3),0)</f>
        <v>0</v>
      </c>
      <c r="Z50" s="5">
        <f t="shared" si="2"/>
        <v>0</v>
      </c>
      <c r="AA50" s="5">
        <f t="shared" si="2"/>
        <v>0</v>
      </c>
      <c r="AB50" s="5">
        <f t="shared" si="2"/>
        <v>0</v>
      </c>
      <c r="AC50" s="5">
        <f t="shared" si="2"/>
        <v>0</v>
      </c>
      <c r="AD50" s="6">
        <f t="shared" si="2"/>
        <v>0</v>
      </c>
      <c r="AF50" s="4" t="s">
        <v>51</v>
      </c>
      <c r="AG50" s="5" t="s">
        <v>39</v>
      </c>
      <c r="AH50" s="5">
        <f t="shared" ref="AH50:AM50" si="3">IFERROR(AVERAGEIFS(AH$45:AH$45,$AG$45:$AG$45,"="&amp;$AG$3),0)</f>
        <v>153.27000000000001</v>
      </c>
      <c r="AI50" s="5">
        <f t="shared" si="3"/>
        <v>148.5</v>
      </c>
      <c r="AJ50" s="5">
        <f t="shared" si="3"/>
        <v>146.12</v>
      </c>
      <c r="AK50" s="5">
        <f t="shared" si="3"/>
        <v>145.39999999999998</v>
      </c>
      <c r="AL50" s="5">
        <f t="shared" si="3"/>
        <v>144.19</v>
      </c>
      <c r="AM50" s="6">
        <f t="shared" si="3"/>
        <v>145.55000000000001</v>
      </c>
      <c r="AO50" s="4" t="s">
        <v>51</v>
      </c>
      <c r="AP50" s="5" t="s">
        <v>39</v>
      </c>
      <c r="AQ50" s="5">
        <f t="shared" ref="AQ50:AV50" si="4">IFERROR(AVERAGEIFS(AQ$45:AQ$45,$AP$45:$AP$45,"="&amp;$AP$3),0)</f>
        <v>153.27000000000001</v>
      </c>
      <c r="AR50" s="5">
        <f t="shared" si="4"/>
        <v>148.5</v>
      </c>
      <c r="AS50" s="5">
        <f t="shared" si="4"/>
        <v>146.12</v>
      </c>
      <c r="AT50" s="5">
        <f t="shared" si="4"/>
        <v>145.39999999999998</v>
      </c>
      <c r="AU50" s="5">
        <f t="shared" si="4"/>
        <v>144.19</v>
      </c>
      <c r="AV50" s="6">
        <f t="shared" si="4"/>
        <v>145.55000000000001</v>
      </c>
      <c r="AX50" s="4" t="s">
        <v>51</v>
      </c>
      <c r="AY50" s="5" t="s">
        <v>39</v>
      </c>
      <c r="AZ50" s="5">
        <f t="shared" ref="AZ50:BE50" si="5">IFERROR(AVERAGEIFS(AZ$45:AZ$45,$AY$45:$AY$45,"="&amp;$AY$3),0)</f>
        <v>153.27000000000001</v>
      </c>
      <c r="BA50" s="5">
        <f t="shared" si="5"/>
        <v>148.5</v>
      </c>
      <c r="BB50" s="5">
        <f t="shared" si="5"/>
        <v>146.12</v>
      </c>
      <c r="BC50" s="5">
        <f t="shared" si="5"/>
        <v>145.39999999999998</v>
      </c>
      <c r="BD50" s="5">
        <f t="shared" si="5"/>
        <v>144.19</v>
      </c>
      <c r="BE50" s="6">
        <f t="shared" si="5"/>
        <v>145.55000000000001</v>
      </c>
      <c r="BG50" s="33"/>
      <c r="BH50" s="33"/>
      <c r="BI50" s="33"/>
      <c r="BJ50" s="33"/>
      <c r="BK50" s="33"/>
      <c r="BL50" s="33"/>
    </row>
    <row r="51" spans="5:64" x14ac:dyDescent="0.35">
      <c r="E51" s="4" t="s">
        <v>52</v>
      </c>
      <c r="F51" s="5" t="s">
        <v>42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6">
        <v>1</v>
      </c>
      <c r="N51" s="4" t="s">
        <v>52</v>
      </c>
      <c r="O51" s="5" t="s">
        <v>42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6">
        <v>1</v>
      </c>
      <c r="W51" s="4" t="s">
        <v>52</v>
      </c>
      <c r="X51" s="5" t="s">
        <v>42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6">
        <v>1</v>
      </c>
      <c r="AF51" s="4" t="s">
        <v>52</v>
      </c>
      <c r="AG51" s="5" t="s">
        <v>42</v>
      </c>
      <c r="AH51" s="5">
        <v>1</v>
      </c>
      <c r="AI51" s="5">
        <v>1</v>
      </c>
      <c r="AJ51" s="5">
        <v>1</v>
      </c>
      <c r="AK51" s="5">
        <v>1</v>
      </c>
      <c r="AL51" s="5">
        <v>1</v>
      </c>
      <c r="AM51" s="6">
        <v>1</v>
      </c>
      <c r="AO51" s="4" t="s">
        <v>52</v>
      </c>
      <c r="AP51" s="5" t="s">
        <v>42</v>
      </c>
      <c r="AQ51" s="5">
        <v>1</v>
      </c>
      <c r="AR51" s="5">
        <v>1</v>
      </c>
      <c r="AS51" s="5">
        <v>1</v>
      </c>
      <c r="AT51" s="5">
        <v>1</v>
      </c>
      <c r="AU51" s="5">
        <v>1</v>
      </c>
      <c r="AV51" s="6">
        <v>1</v>
      </c>
      <c r="AX51" s="4" t="s">
        <v>52</v>
      </c>
      <c r="AY51" s="5" t="s">
        <v>42</v>
      </c>
      <c r="AZ51" s="5">
        <v>1</v>
      </c>
      <c r="BA51" s="5">
        <v>1</v>
      </c>
      <c r="BB51" s="5">
        <v>1</v>
      </c>
      <c r="BC51" s="5">
        <v>1</v>
      </c>
      <c r="BD51" s="5">
        <v>1</v>
      </c>
      <c r="BE51" s="6">
        <v>1</v>
      </c>
      <c r="BG51" s="33"/>
      <c r="BH51" s="33"/>
      <c r="BI51" s="33"/>
      <c r="BJ51" s="33"/>
      <c r="BK51" s="33"/>
      <c r="BL51" s="33"/>
    </row>
    <row r="52" spans="5:64" ht="15.5" thickBot="1" x14ac:dyDescent="0.4">
      <c r="E52" s="11" t="s">
        <v>13</v>
      </c>
      <c r="F52" s="14" t="s">
        <v>39</v>
      </c>
      <c r="G52" s="14">
        <f>IF(F$46="Sí",0,AVERAGEIFS(#REF!,#REF!,"="&amp;'Contrato Marco'!F$3)*1000)</f>
        <v>0</v>
      </c>
      <c r="H52" s="14">
        <f>IF(F$46="Sí",0,AVERAGEIFS(#REF!,#REF!,"="&amp;'Contrato Marco'!F$3)*1000)</f>
        <v>0</v>
      </c>
      <c r="I52" s="14">
        <f>IF(F$46="Sí",0,AVERAGEIFS(#REF!,#REF!,"="&amp;'Contrato Marco'!F$3)*1000)</f>
        <v>0</v>
      </c>
      <c r="J52" s="14">
        <f>IF(F$46="Sí",0,AVERAGEIFS(#REF!,#REF!,"="&amp;'Contrato Marco'!F$3)*1000)</f>
        <v>0</v>
      </c>
      <c r="K52" s="14">
        <f>IF(F$46="Sí",0,AVERAGEIFS(#REF!,#REF!,"="&amp;'Contrato Marco'!F$3)*1000)</f>
        <v>0</v>
      </c>
      <c r="L52" s="16">
        <f>IF(F$46="Sí",0,AVERAGEIFS(#REF!,#REF!,"="&amp;'Contrato Marco'!F$3)*1000)</f>
        <v>0</v>
      </c>
      <c r="N52" s="11" t="s">
        <v>13</v>
      </c>
      <c r="O52" s="14" t="s">
        <v>39</v>
      </c>
      <c r="P52" s="14">
        <f>IF(O$46="Sí",0,AVERAGEIFS(#REF!,#REF!,"="&amp;'Contrato Marco'!O$3)*1000)</f>
        <v>0</v>
      </c>
      <c r="Q52" s="14">
        <f>IF(O$46="Sí",0,AVERAGEIFS(#REF!,#REF!,"="&amp;'Contrato Marco'!O$3)*1000)</f>
        <v>0</v>
      </c>
      <c r="R52" s="14">
        <f>IF(O$46="Sí",0,AVERAGEIFS(#REF!,#REF!,"="&amp;'Contrato Marco'!O$3)*1000)</f>
        <v>0</v>
      </c>
      <c r="S52" s="14">
        <f>IF(O$46="Sí",0,AVERAGEIFS(#REF!,#REF!,"="&amp;'Contrato Marco'!O$3)*1000)</f>
        <v>0</v>
      </c>
      <c r="T52" s="14">
        <f>IF(O$46="Sí",0,AVERAGEIFS(#REF!,#REF!,"="&amp;'Contrato Marco'!O$3)*1000)</f>
        <v>0</v>
      </c>
      <c r="U52" s="16">
        <f>IF(O$46="Sí",0,AVERAGEIFS(#REF!,#REF!,"="&amp;'Contrato Marco'!O$3)*1000)</f>
        <v>0</v>
      </c>
      <c r="W52" s="11" t="s">
        <v>13</v>
      </c>
      <c r="X52" s="14" t="s">
        <v>39</v>
      </c>
      <c r="Y52" s="14">
        <f>IF(X$46="Sí",0,AVERAGEIFS(#REF!,#REF!,"="&amp;'Contrato Marco'!X$3)*1000)</f>
        <v>0</v>
      </c>
      <c r="Z52" s="14">
        <f>IF(X$46="Sí",0,AVERAGEIFS(#REF!,#REF!,"="&amp;'Contrato Marco'!X$3)*1000)</f>
        <v>0</v>
      </c>
      <c r="AA52" s="14">
        <f>IF(X$46="Sí",0,AVERAGEIFS(#REF!,#REF!,"="&amp;'Contrato Marco'!X$3)*1000)</f>
        <v>0</v>
      </c>
      <c r="AB52" s="14">
        <f>IF(X$46="Sí",0,AVERAGEIFS(#REF!,#REF!,"="&amp;'Contrato Marco'!X$3)*1000)</f>
        <v>0</v>
      </c>
      <c r="AC52" s="14">
        <f>IF(X$46="Sí",0,AVERAGEIFS(#REF!,#REF!,"="&amp;'Contrato Marco'!X$3)*1000)</f>
        <v>0</v>
      </c>
      <c r="AD52" s="16">
        <f>IF(X$46="Sí",0,AVERAGEIFS(#REF!,#REF!,"="&amp;'Contrato Marco'!X$3)*1000)</f>
        <v>0</v>
      </c>
      <c r="AF52" s="11" t="s">
        <v>13</v>
      </c>
      <c r="AG52" s="14" t="s">
        <v>39</v>
      </c>
      <c r="AH52" s="14">
        <f>IF(AG$46="Sí",0,AVERAGEIFS(#REF!,#REF!,"="&amp;'Contrato Marco'!AG$3)*1000)</f>
        <v>0</v>
      </c>
      <c r="AI52" s="14">
        <f>IF(AG$46="Sí",0,AVERAGEIFS(#REF!,#REF!,"="&amp;'Contrato Marco'!AG$3)*1000)</f>
        <v>0</v>
      </c>
      <c r="AJ52" s="14">
        <f>IF(AG$46="Sí",0,AVERAGEIFS(#REF!,#REF!,"="&amp;'Contrato Marco'!AG$3)*1000)</f>
        <v>0</v>
      </c>
      <c r="AK52" s="14">
        <f>IF(AG$46="Sí",0,AVERAGEIFS(#REF!,#REF!,"="&amp;'Contrato Marco'!AG$3)*1000)</f>
        <v>0</v>
      </c>
      <c r="AL52" s="14">
        <f>IF(AG$46="Sí",0,AVERAGEIFS(#REF!,#REF!,"="&amp;'Contrato Marco'!AG$3)*1000)</f>
        <v>0</v>
      </c>
      <c r="AM52" s="16">
        <f>IF(AG$46="Sí",0,AVERAGEIFS(#REF!,#REF!,"="&amp;'Contrato Marco'!AG$3)*1000)</f>
        <v>0</v>
      </c>
      <c r="AO52" s="11" t="s">
        <v>13</v>
      </c>
      <c r="AP52" s="14" t="s">
        <v>39</v>
      </c>
      <c r="AQ52" s="14">
        <f>IF(AP$46="Sí",0,AVERAGEIFS(#REF!,#REF!,"="&amp;'Contrato Marco'!AP$3)*1000)</f>
        <v>0</v>
      </c>
      <c r="AR52" s="14">
        <f>IF(AP$46="Sí",0,AVERAGEIFS(#REF!,#REF!,"="&amp;'Contrato Marco'!AP$3)*1000)</f>
        <v>0</v>
      </c>
      <c r="AS52" s="14">
        <f>IF(AP$46="Sí",0,AVERAGEIFS(#REF!,#REF!,"="&amp;'Contrato Marco'!AP$3)*1000)</f>
        <v>0</v>
      </c>
      <c r="AT52" s="14">
        <f>IF(AP$46="Sí",0,AVERAGEIFS(#REF!,#REF!,"="&amp;'Contrato Marco'!AP$3)*1000)</f>
        <v>0</v>
      </c>
      <c r="AU52" s="14">
        <f>IF(AP$46="Sí",0,AVERAGEIFS(#REF!,#REF!,"="&amp;'Contrato Marco'!AP$3)*1000)</f>
        <v>0</v>
      </c>
      <c r="AV52" s="16">
        <f>IF(AP$46="Sí",0,AVERAGEIFS(#REF!,#REF!,"="&amp;'Contrato Marco'!AP$3)*1000)</f>
        <v>0</v>
      </c>
      <c r="AX52" s="11" t="s">
        <v>13</v>
      </c>
      <c r="AY52" s="14" t="s">
        <v>39</v>
      </c>
      <c r="AZ52" s="14">
        <f>IF(AY$46="Sí",0,AVERAGEIFS(#REF!,#REF!,"="&amp;'Contrato Marco'!AY$3)*1000)</f>
        <v>0</v>
      </c>
      <c r="BA52" s="14">
        <f>IF(AY$46="Sí",0,AVERAGEIFS(#REF!,#REF!,"="&amp;'Contrato Marco'!AY$3)*1000)</f>
        <v>0</v>
      </c>
      <c r="BB52" s="14">
        <f>IF(AY$46="Sí",0,AVERAGEIFS(#REF!,#REF!,"="&amp;'Contrato Marco'!AY$3)*1000)</f>
        <v>0</v>
      </c>
      <c r="BC52" s="14">
        <f>IF(AY$46="Sí",0,AVERAGEIFS(#REF!,#REF!,"="&amp;'Contrato Marco'!AY$3)*1000)</f>
        <v>0</v>
      </c>
      <c r="BD52" s="14">
        <f>IF(AY$46="Sí",0,AVERAGEIFS(#REF!,#REF!,"="&amp;'Contrato Marco'!AY$3)*1000)</f>
        <v>0</v>
      </c>
      <c r="BE52" s="16">
        <f>IF(AY$46="Sí",0,AVERAGEIFS(#REF!,#REF!,"="&amp;'Contrato Marco'!AY$3)*1000)</f>
        <v>0</v>
      </c>
      <c r="BG52" s="33"/>
      <c r="BH52" s="33"/>
      <c r="BI52" s="33"/>
      <c r="BJ52" s="33"/>
      <c r="BK52" s="33"/>
      <c r="BL52" s="33"/>
    </row>
    <row r="53" spans="5:64" x14ac:dyDescent="0.35">
      <c r="E53" s="4" t="s">
        <v>137</v>
      </c>
      <c r="F53" s="7" t="s">
        <v>59</v>
      </c>
      <c r="N53" s="4" t="s">
        <v>137</v>
      </c>
      <c r="O53" s="7" t="s">
        <v>59</v>
      </c>
      <c r="W53" s="4" t="s">
        <v>137</v>
      </c>
      <c r="X53" s="7" t="s">
        <v>59</v>
      </c>
      <c r="AF53" s="4" t="s">
        <v>137</v>
      </c>
      <c r="AG53" s="7" t="s">
        <v>59</v>
      </c>
    </row>
  </sheetData>
  <mergeCells count="66">
    <mergeCell ref="AY47:BE47"/>
    <mergeCell ref="AP47:AV47"/>
    <mergeCell ref="AY2:BE2"/>
    <mergeCell ref="AY3:BE3"/>
    <mergeCell ref="AX5:BE5"/>
    <mergeCell ref="AX7:AX23"/>
    <mergeCell ref="AZ25:BE25"/>
    <mergeCell ref="AY26:BE26"/>
    <mergeCell ref="AZ35:BE35"/>
    <mergeCell ref="AY36:BE36"/>
    <mergeCell ref="AZ42:BE42"/>
    <mergeCell ref="AY43:BE43"/>
    <mergeCell ref="AQ42:AV42"/>
    <mergeCell ref="AP43:AV43"/>
    <mergeCell ref="AP36:AV36"/>
    <mergeCell ref="AH35:AM35"/>
    <mergeCell ref="AP2:AV2"/>
    <mergeCell ref="AP3:AV3"/>
    <mergeCell ref="AO5:AV5"/>
    <mergeCell ref="AO7:AO23"/>
    <mergeCell ref="AQ25:AV25"/>
    <mergeCell ref="AP26:AV26"/>
    <mergeCell ref="AQ35:AV35"/>
    <mergeCell ref="AG2:AM2"/>
    <mergeCell ref="AG3:AM3"/>
    <mergeCell ref="AF5:AM5"/>
    <mergeCell ref="AF7:AF23"/>
    <mergeCell ref="AH25:AM25"/>
    <mergeCell ref="AG36:AM36"/>
    <mergeCell ref="AH42:AM42"/>
    <mergeCell ref="AG43:AM43"/>
    <mergeCell ref="AG47:AM47"/>
    <mergeCell ref="X2:AD2"/>
    <mergeCell ref="X3:AD3"/>
    <mergeCell ref="W5:AD5"/>
    <mergeCell ref="W7:W23"/>
    <mergeCell ref="Y25:AD25"/>
    <mergeCell ref="X26:AD26"/>
    <mergeCell ref="X36:AD36"/>
    <mergeCell ref="Y42:AD42"/>
    <mergeCell ref="X43:AD43"/>
    <mergeCell ref="X47:AD47"/>
    <mergeCell ref="Y35:AD35"/>
    <mergeCell ref="AG26:AM26"/>
    <mergeCell ref="F2:L2"/>
    <mergeCell ref="F3:L3"/>
    <mergeCell ref="O36:U36"/>
    <mergeCell ref="P42:U42"/>
    <mergeCell ref="O43:U43"/>
    <mergeCell ref="E5:L5"/>
    <mergeCell ref="E7:E23"/>
    <mergeCell ref="G25:L25"/>
    <mergeCell ref="F26:L26"/>
    <mergeCell ref="G35:L35"/>
    <mergeCell ref="O2:U2"/>
    <mergeCell ref="O3:U3"/>
    <mergeCell ref="N7:N23"/>
    <mergeCell ref="P25:U25"/>
    <mergeCell ref="O26:U26"/>
    <mergeCell ref="N5:U5"/>
    <mergeCell ref="P35:U35"/>
    <mergeCell ref="F43:L43"/>
    <mergeCell ref="F47:L47"/>
    <mergeCell ref="O47:U47"/>
    <mergeCell ref="F36:L36"/>
    <mergeCell ref="G42:L42"/>
  </mergeCells>
  <phoneticPr fontId="2" type="noConversion"/>
  <conditionalFormatting sqref="G46:L46">
    <cfRule type="expression" dxfId="19" priority="8">
      <formula>#REF!="No"</formula>
    </cfRule>
  </conditionalFormatting>
  <conditionalFormatting sqref="Y46:AD46">
    <cfRule type="expression" dxfId="18" priority="5">
      <formula>#REF!="No"</formula>
    </cfRule>
  </conditionalFormatting>
  <conditionalFormatting sqref="AH46:AM46">
    <cfRule type="expression" dxfId="17" priority="4">
      <formula>#REF!="No"</formula>
    </cfRule>
  </conditionalFormatting>
  <conditionalFormatting sqref="AQ46:AV46">
    <cfRule type="expression" dxfId="16" priority="3">
      <formula>#REF!="No"</formula>
    </cfRule>
  </conditionalFormatting>
  <conditionalFormatting sqref="AZ46:BE46">
    <cfRule type="expression" dxfId="15" priority="2">
      <formula>#REF!="No"</formula>
    </cfRule>
  </conditionalFormatting>
  <conditionalFormatting sqref="P46:U46">
    <cfRule type="expression" dxfId="14" priority="1">
      <formula>#REF!="No"</formula>
    </cfRule>
  </conditionalFormatting>
  <dataValidations count="2">
    <dataValidation type="list" allowBlank="1" showInputMessage="1" showErrorMessage="1" sqref="F46 AY46 X46 AG46 AP46 O46 F53 O53 X53 AG53" xr:uid="{F7B6C683-1DDA-4C68-9407-BF369891FE9F}">
      <formula1>"Sí,No"</formula1>
    </dataValidation>
    <dataValidation type="list" allowBlank="1" showInputMessage="1" showErrorMessage="1" sqref="F2 AY2 X2 AG2 AP2 O2" xr:uid="{D20CE46F-A118-47A4-8766-F5037B739DD9}">
      <formula1>$B$3:$B$27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A79C8-68E2-4B4B-88CA-B98CD0F2F943}">
  <sheetPr codeName="Hoja2">
    <tabColor theme="7" tint="0.79998168889431442"/>
  </sheetPr>
  <dimension ref="B1:CA50"/>
  <sheetViews>
    <sheetView showGridLines="0" topLeftCell="A11" zoomScale="85" zoomScaleNormal="85" workbookViewId="0">
      <selection activeCell="E24" sqref="E24"/>
    </sheetView>
  </sheetViews>
  <sheetFormatPr baseColWidth="10" defaultColWidth="11.54296875" defaultRowHeight="15" x14ac:dyDescent="0.35"/>
  <cols>
    <col min="1" max="1" width="2.90625" style="12" customWidth="1"/>
    <col min="2" max="2" width="19.54296875" style="12" bestFit="1" customWidth="1"/>
    <col min="3" max="3" width="17.26953125" style="1" customWidth="1"/>
    <col min="4" max="4" width="16.36328125" style="1" customWidth="1"/>
    <col min="5" max="8" width="16.7265625" style="1" bestFit="1" customWidth="1"/>
    <col min="9" max="10" width="16.7265625" style="12" bestFit="1" customWidth="1"/>
    <col min="11" max="15" width="16.7265625" style="1" bestFit="1" customWidth="1"/>
    <col min="16" max="16" width="13.36328125" style="1" bestFit="1" customWidth="1"/>
    <col min="17" max="17" width="13.1796875" style="1" bestFit="1" customWidth="1"/>
    <col min="18" max="18" width="13.26953125" style="1" bestFit="1" customWidth="1"/>
    <col min="19" max="19" width="13.1796875" style="1" bestFit="1" customWidth="1"/>
    <col min="20" max="20" width="13.26953125" style="1" bestFit="1" customWidth="1"/>
    <col min="21" max="21" width="13.26953125" style="12" bestFit="1" customWidth="1"/>
    <col min="22" max="22" width="13.7265625" style="12" bestFit="1" customWidth="1"/>
    <col min="23" max="23" width="13.1796875" style="12" bestFit="1" customWidth="1"/>
    <col min="24" max="25" width="13.54296875" style="12" bestFit="1" customWidth="1"/>
    <col min="26" max="26" width="13.7265625" style="12" bestFit="1" customWidth="1"/>
    <col min="27" max="27" width="13.54296875" style="12" bestFit="1" customWidth="1"/>
    <col min="28" max="28" width="13.6328125" style="12" bestFit="1" customWidth="1"/>
    <col min="29" max="29" width="13.54296875" style="12" bestFit="1" customWidth="1"/>
    <col min="30" max="31" width="13.6328125" style="12" bestFit="1" customWidth="1"/>
    <col min="32" max="32" width="13.7265625" style="12" bestFit="1" customWidth="1"/>
    <col min="33" max="33" width="13.1796875" style="12" bestFit="1" customWidth="1"/>
    <col min="34" max="35" width="13.54296875" style="12" bestFit="1" customWidth="1"/>
    <col min="36" max="36" width="13.7265625" style="12" bestFit="1" customWidth="1"/>
    <col min="37" max="37" width="13.54296875" style="12" bestFit="1" customWidth="1"/>
    <col min="38" max="38" width="13.6328125" style="12" bestFit="1" customWidth="1"/>
    <col min="39" max="39" width="13.54296875" style="12" bestFit="1" customWidth="1"/>
    <col min="40" max="41" width="13.6328125" style="12" bestFit="1" customWidth="1"/>
    <col min="42" max="42" width="13.90625" style="12" bestFit="1" customWidth="1"/>
    <col min="43" max="43" width="13.36328125" style="12" bestFit="1" customWidth="1"/>
    <col min="44" max="45" width="13.7265625" style="12" bestFit="1" customWidth="1"/>
    <col min="46" max="46" width="13.90625" style="12" bestFit="1" customWidth="1"/>
    <col min="47" max="47" width="13.7265625" style="12" bestFit="1" customWidth="1"/>
    <col min="48" max="48" width="13.81640625" style="12" bestFit="1" customWidth="1"/>
    <col min="49" max="49" width="13.7265625" style="12" bestFit="1" customWidth="1"/>
    <col min="50" max="77" width="11.54296875" style="12"/>
    <col min="78" max="79" width="9.26953125" style="12" bestFit="1" customWidth="1"/>
    <col min="80" max="16384" width="11.54296875" style="12"/>
  </cols>
  <sheetData>
    <row r="1" spans="2:16" ht="15.5" thickBot="1" x14ac:dyDescent="0.4"/>
    <row r="2" spans="2:16" x14ac:dyDescent="0.35">
      <c r="B2" s="92" t="s">
        <v>60</v>
      </c>
      <c r="C2" s="93"/>
      <c r="D2" s="93"/>
      <c r="E2" s="93"/>
      <c r="F2" s="93"/>
      <c r="G2" s="93"/>
      <c r="H2" s="94"/>
    </row>
    <row r="3" spans="2:16" x14ac:dyDescent="0.35">
      <c r="B3" s="18" t="s">
        <v>61</v>
      </c>
      <c r="C3" s="101" t="s">
        <v>148</v>
      </c>
      <c r="D3" s="101"/>
      <c r="E3" s="101"/>
      <c r="F3" s="101"/>
      <c r="G3" s="101"/>
      <c r="H3" s="102"/>
    </row>
    <row r="4" spans="2:16" x14ac:dyDescent="0.35">
      <c r="B4" s="18" t="s">
        <v>62</v>
      </c>
      <c r="C4" s="101" t="s">
        <v>142</v>
      </c>
      <c r="D4" s="101"/>
      <c r="E4" s="101"/>
      <c r="F4" s="101"/>
      <c r="G4" s="101"/>
      <c r="H4" s="102"/>
    </row>
    <row r="5" spans="2:16" x14ac:dyDescent="0.35">
      <c r="B5" s="18" t="s">
        <v>14</v>
      </c>
      <c r="C5" s="101" t="s">
        <v>9</v>
      </c>
      <c r="D5" s="101"/>
      <c r="E5" s="101"/>
      <c r="F5" s="101"/>
      <c r="G5" s="101"/>
      <c r="H5" s="102"/>
    </row>
    <row r="6" spans="2:16" x14ac:dyDescent="0.35">
      <c r="B6" s="18" t="s">
        <v>63</v>
      </c>
      <c r="C6" s="5" t="s">
        <v>1</v>
      </c>
      <c r="D6" s="5" t="s">
        <v>2</v>
      </c>
      <c r="E6" s="5" t="s">
        <v>3</v>
      </c>
      <c r="F6" s="5" t="s">
        <v>4</v>
      </c>
      <c r="G6" s="5" t="s">
        <v>5</v>
      </c>
      <c r="H6" s="6" t="s">
        <v>6</v>
      </c>
      <c r="I6" s="17"/>
    </row>
    <row r="7" spans="2:16" x14ac:dyDescent="0.35">
      <c r="B7" s="13">
        <v>1</v>
      </c>
      <c r="C7" s="21">
        <f>K7*1000</f>
        <v>252017</v>
      </c>
      <c r="D7" s="21">
        <f t="shared" ref="D7:H18" si="0">L7*1000</f>
        <v>196769</v>
      </c>
      <c r="E7" s="21">
        <f t="shared" si="0"/>
        <v>0</v>
      </c>
      <c r="F7" s="21">
        <f t="shared" si="0"/>
        <v>0</v>
      </c>
      <c r="G7" s="21">
        <f t="shared" si="0"/>
        <v>0</v>
      </c>
      <c r="H7" s="21">
        <f t="shared" si="0"/>
        <v>404353.99999999994</v>
      </c>
      <c r="I7" s="22"/>
      <c r="K7" s="37">
        <v>252.017</v>
      </c>
      <c r="L7" s="1">
        <v>196.76900000000001</v>
      </c>
      <c r="M7" s="1">
        <v>0</v>
      </c>
      <c r="N7" s="1">
        <v>0</v>
      </c>
      <c r="O7" s="1">
        <v>0</v>
      </c>
      <c r="P7" s="1">
        <v>404.35399999999993</v>
      </c>
    </row>
    <row r="8" spans="2:16" x14ac:dyDescent="0.35">
      <c r="B8" s="13">
        <v>2</v>
      </c>
      <c r="C8" s="21">
        <f t="shared" ref="C8:C18" si="1">K8*1000</f>
        <v>228214.00000000003</v>
      </c>
      <c r="D8" s="21">
        <f t="shared" si="0"/>
        <v>175811.99999999997</v>
      </c>
      <c r="E8" s="21">
        <f t="shared" si="0"/>
        <v>0</v>
      </c>
      <c r="F8" s="21">
        <f t="shared" si="0"/>
        <v>0</v>
      </c>
      <c r="G8" s="21">
        <f t="shared" si="0"/>
        <v>0</v>
      </c>
      <c r="H8" s="21">
        <f t="shared" si="0"/>
        <v>330129</v>
      </c>
      <c r="I8" s="22"/>
      <c r="K8" s="37">
        <v>228.21400000000003</v>
      </c>
      <c r="L8" s="1">
        <v>175.81199999999998</v>
      </c>
      <c r="M8" s="1">
        <v>0</v>
      </c>
      <c r="N8" s="1">
        <v>0</v>
      </c>
      <c r="O8" s="1">
        <v>0</v>
      </c>
      <c r="P8" s="1">
        <v>330.12900000000002</v>
      </c>
    </row>
    <row r="9" spans="2:16" x14ac:dyDescent="0.35">
      <c r="B9" s="13">
        <v>3</v>
      </c>
      <c r="C9" s="21">
        <f t="shared" si="1"/>
        <v>0</v>
      </c>
      <c r="D9" s="21">
        <f t="shared" si="0"/>
        <v>276994</v>
      </c>
      <c r="E9" s="21">
        <f t="shared" si="0"/>
        <v>213118</v>
      </c>
      <c r="F9" s="21">
        <f t="shared" si="0"/>
        <v>0</v>
      </c>
      <c r="G9" s="21">
        <f t="shared" si="0"/>
        <v>0</v>
      </c>
      <c r="H9" s="21">
        <f t="shared" si="0"/>
        <v>372328</v>
      </c>
      <c r="I9" s="22"/>
      <c r="K9" s="37">
        <v>0</v>
      </c>
      <c r="L9" s="1">
        <v>276.99400000000003</v>
      </c>
      <c r="M9" s="1">
        <v>213.11799999999999</v>
      </c>
      <c r="N9" s="1">
        <v>0</v>
      </c>
      <c r="O9" s="1">
        <v>0</v>
      </c>
      <c r="P9" s="1">
        <v>372.32799999999997</v>
      </c>
    </row>
    <row r="10" spans="2:16" x14ac:dyDescent="0.35">
      <c r="B10" s="13">
        <v>4</v>
      </c>
      <c r="C10" s="21">
        <f t="shared" si="1"/>
        <v>0</v>
      </c>
      <c r="D10" s="21">
        <f t="shared" si="0"/>
        <v>0</v>
      </c>
      <c r="E10" s="21">
        <f t="shared" si="0"/>
        <v>0</v>
      </c>
      <c r="F10" s="21">
        <f t="shared" si="0"/>
        <v>234737</v>
      </c>
      <c r="G10" s="21">
        <f t="shared" si="0"/>
        <v>183146.00000000003</v>
      </c>
      <c r="H10" s="21">
        <f t="shared" si="0"/>
        <v>408134.00000000006</v>
      </c>
      <c r="I10" s="22"/>
      <c r="K10" s="37">
        <v>0</v>
      </c>
      <c r="L10" s="1">
        <v>0</v>
      </c>
      <c r="M10" s="1">
        <v>0</v>
      </c>
      <c r="N10" s="1">
        <v>234.73699999999999</v>
      </c>
      <c r="O10" s="1">
        <v>183.14600000000002</v>
      </c>
      <c r="P10" s="1">
        <v>408.13400000000007</v>
      </c>
    </row>
    <row r="11" spans="2:16" x14ac:dyDescent="0.35">
      <c r="B11" s="13">
        <v>5</v>
      </c>
      <c r="C11" s="21">
        <f t="shared" si="1"/>
        <v>0</v>
      </c>
      <c r="D11" s="21">
        <f t="shared" si="0"/>
        <v>0</v>
      </c>
      <c r="E11" s="21">
        <f t="shared" si="0"/>
        <v>0</v>
      </c>
      <c r="F11" s="21">
        <f t="shared" si="0"/>
        <v>283905</v>
      </c>
      <c r="G11" s="21">
        <f t="shared" si="0"/>
        <v>226576.00000000003</v>
      </c>
      <c r="H11" s="21">
        <f t="shared" si="0"/>
        <v>433367</v>
      </c>
      <c r="I11" s="22"/>
      <c r="K11" s="37">
        <v>0</v>
      </c>
      <c r="L11" s="1">
        <v>0</v>
      </c>
      <c r="M11" s="1">
        <v>0</v>
      </c>
      <c r="N11" s="1">
        <v>283.90499999999997</v>
      </c>
      <c r="O11" s="1">
        <v>226.57600000000002</v>
      </c>
      <c r="P11" s="1">
        <v>433.36700000000002</v>
      </c>
    </row>
    <row r="12" spans="2:16" x14ac:dyDescent="0.35">
      <c r="B12" s="13">
        <v>6</v>
      </c>
      <c r="C12" s="21">
        <f t="shared" si="1"/>
        <v>0</v>
      </c>
      <c r="D12" s="21">
        <f t="shared" si="0"/>
        <v>0</v>
      </c>
      <c r="E12" s="21">
        <f t="shared" si="0"/>
        <v>258120.99999999997</v>
      </c>
      <c r="F12" s="21">
        <f t="shared" si="0"/>
        <v>208026</v>
      </c>
      <c r="G12" s="21">
        <f t="shared" si="0"/>
        <v>0</v>
      </c>
      <c r="H12" s="21">
        <f t="shared" si="0"/>
        <v>445817</v>
      </c>
      <c r="I12" s="22"/>
      <c r="K12" s="37">
        <v>0</v>
      </c>
      <c r="L12" s="1">
        <v>0</v>
      </c>
      <c r="M12" s="1">
        <v>258.12099999999998</v>
      </c>
      <c r="N12" s="1">
        <v>208.02600000000001</v>
      </c>
      <c r="O12" s="1">
        <v>0</v>
      </c>
      <c r="P12" s="1">
        <v>445.81700000000001</v>
      </c>
    </row>
    <row r="13" spans="2:16" x14ac:dyDescent="0.35">
      <c r="B13" s="13">
        <v>7</v>
      </c>
      <c r="C13" s="21">
        <f t="shared" si="1"/>
        <v>264141</v>
      </c>
      <c r="D13" s="21">
        <f t="shared" si="0"/>
        <v>199715</v>
      </c>
      <c r="E13" s="21">
        <f t="shared" si="0"/>
        <v>0</v>
      </c>
      <c r="F13" s="21">
        <f t="shared" si="0"/>
        <v>0</v>
      </c>
      <c r="G13" s="21">
        <f t="shared" si="0"/>
        <v>0</v>
      </c>
      <c r="H13" s="21">
        <f t="shared" si="0"/>
        <v>526210</v>
      </c>
      <c r="I13" s="22"/>
      <c r="K13" s="37">
        <v>264.14100000000002</v>
      </c>
      <c r="L13" s="1">
        <v>199.715</v>
      </c>
      <c r="M13" s="1">
        <v>0</v>
      </c>
      <c r="N13" s="1">
        <v>0</v>
      </c>
      <c r="O13" s="1">
        <v>0</v>
      </c>
      <c r="P13" s="1">
        <v>526.21</v>
      </c>
    </row>
    <row r="14" spans="2:16" x14ac:dyDescent="0.35">
      <c r="B14" s="13">
        <v>8</v>
      </c>
      <c r="C14" s="21">
        <f t="shared" si="1"/>
        <v>0</v>
      </c>
      <c r="D14" s="21">
        <f t="shared" si="0"/>
        <v>0</v>
      </c>
      <c r="E14" s="21">
        <f t="shared" si="0"/>
        <v>279877</v>
      </c>
      <c r="F14" s="21">
        <f t="shared" si="0"/>
        <v>206474</v>
      </c>
      <c r="G14" s="21">
        <f t="shared" si="0"/>
        <v>0</v>
      </c>
      <c r="H14" s="21">
        <f t="shared" si="0"/>
        <v>578722</v>
      </c>
      <c r="I14" s="22"/>
      <c r="K14" s="37">
        <v>0</v>
      </c>
      <c r="L14" s="1">
        <v>0</v>
      </c>
      <c r="M14" s="1">
        <v>279.87700000000001</v>
      </c>
      <c r="N14" s="1">
        <v>206.47399999999999</v>
      </c>
      <c r="O14" s="1">
        <v>0</v>
      </c>
      <c r="P14" s="1">
        <v>578.72199999999998</v>
      </c>
    </row>
    <row r="15" spans="2:16" x14ac:dyDescent="0.35">
      <c r="B15" s="13">
        <v>9</v>
      </c>
      <c r="C15" s="21">
        <f t="shared" si="1"/>
        <v>0</v>
      </c>
      <c r="D15" s="21">
        <f t="shared" si="0"/>
        <v>0</v>
      </c>
      <c r="E15" s="21">
        <f t="shared" si="0"/>
        <v>263363</v>
      </c>
      <c r="F15" s="21">
        <f t="shared" si="0"/>
        <v>200103</v>
      </c>
      <c r="G15" s="21">
        <f t="shared" si="0"/>
        <v>0</v>
      </c>
      <c r="H15" s="21">
        <f t="shared" si="0"/>
        <v>483724</v>
      </c>
      <c r="I15" s="22"/>
      <c r="K15" s="37">
        <v>0</v>
      </c>
      <c r="L15" s="1">
        <v>0</v>
      </c>
      <c r="M15" s="1">
        <v>263.363</v>
      </c>
      <c r="N15" s="1">
        <v>200.10300000000001</v>
      </c>
      <c r="O15" s="1">
        <v>0</v>
      </c>
      <c r="P15" s="1">
        <v>483.72399999999999</v>
      </c>
    </row>
    <row r="16" spans="2:16" x14ac:dyDescent="0.35">
      <c r="B16" s="13">
        <v>10</v>
      </c>
      <c r="C16" s="21">
        <f t="shared" si="1"/>
        <v>0</v>
      </c>
      <c r="D16" s="21">
        <f t="shared" si="0"/>
        <v>0</v>
      </c>
      <c r="E16" s="21">
        <f t="shared" si="0"/>
        <v>0</v>
      </c>
      <c r="F16" s="21">
        <f t="shared" si="0"/>
        <v>270529</v>
      </c>
      <c r="G16" s="21">
        <f t="shared" si="0"/>
        <v>210174.99999999997</v>
      </c>
      <c r="H16" s="21">
        <f t="shared" si="0"/>
        <v>489689.99999999994</v>
      </c>
      <c r="I16" s="22"/>
      <c r="K16" s="37">
        <v>0</v>
      </c>
      <c r="L16" s="1">
        <v>0</v>
      </c>
      <c r="M16" s="1">
        <v>0</v>
      </c>
      <c r="N16" s="1">
        <v>270.529</v>
      </c>
      <c r="O16" s="1">
        <v>210.17499999999998</v>
      </c>
      <c r="P16" s="1">
        <v>489.68999999999994</v>
      </c>
    </row>
    <row r="17" spans="2:79" x14ac:dyDescent="0.35">
      <c r="B17" s="23">
        <v>11</v>
      </c>
      <c r="C17" s="21">
        <f t="shared" si="1"/>
        <v>0</v>
      </c>
      <c r="D17" s="21">
        <f t="shared" si="0"/>
        <v>238813</v>
      </c>
      <c r="E17" s="21">
        <f t="shared" si="0"/>
        <v>200538</v>
      </c>
      <c r="F17" s="21">
        <f t="shared" si="0"/>
        <v>0</v>
      </c>
      <c r="G17" s="21">
        <f t="shared" si="0"/>
        <v>0</v>
      </c>
      <c r="H17" s="21">
        <f t="shared" si="0"/>
        <v>428989.99999999994</v>
      </c>
      <c r="I17" s="22"/>
      <c r="K17" s="37">
        <v>0</v>
      </c>
      <c r="L17" s="1">
        <v>238.81299999999999</v>
      </c>
      <c r="M17" s="1">
        <v>200.53800000000001</v>
      </c>
      <c r="N17" s="1">
        <v>0</v>
      </c>
      <c r="O17" s="1">
        <v>0</v>
      </c>
      <c r="P17" s="1">
        <v>428.98999999999995</v>
      </c>
    </row>
    <row r="18" spans="2:79" ht="15.5" thickBot="1" x14ac:dyDescent="0.4">
      <c r="B18" s="23">
        <v>12</v>
      </c>
      <c r="C18" s="21">
        <f t="shared" si="1"/>
        <v>202585</v>
      </c>
      <c r="D18" s="21">
        <f t="shared" si="0"/>
        <v>166637</v>
      </c>
      <c r="E18" s="21">
        <f t="shared" si="0"/>
        <v>0</v>
      </c>
      <c r="F18" s="21">
        <f t="shared" si="0"/>
        <v>0</v>
      </c>
      <c r="G18" s="21">
        <f t="shared" si="0"/>
        <v>0</v>
      </c>
      <c r="H18" s="21">
        <f t="shared" si="0"/>
        <v>469297.99999999994</v>
      </c>
      <c r="I18" s="22"/>
      <c r="K18" s="37">
        <v>202.58500000000001</v>
      </c>
      <c r="L18" s="1">
        <v>166.637</v>
      </c>
      <c r="M18" s="1">
        <v>0</v>
      </c>
      <c r="N18" s="1">
        <v>0</v>
      </c>
      <c r="O18" s="1">
        <v>0</v>
      </c>
      <c r="P18" s="1">
        <v>469.29799999999994</v>
      </c>
    </row>
    <row r="19" spans="2:79" x14ac:dyDescent="0.35">
      <c r="B19" s="100"/>
      <c r="C19" s="100"/>
      <c r="D19" s="100"/>
      <c r="E19" s="100"/>
      <c r="F19" s="100"/>
      <c r="G19" s="100"/>
      <c r="H19" s="100"/>
      <c r="Q19" s="12"/>
      <c r="R19" s="12"/>
      <c r="S19" s="12"/>
      <c r="T19" s="12"/>
    </row>
    <row r="20" spans="2:79" x14ac:dyDescent="0.35">
      <c r="B20" s="103" t="s">
        <v>73</v>
      </c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2"/>
      <c r="R20" s="12"/>
      <c r="S20" s="12"/>
      <c r="T20" s="12"/>
    </row>
    <row r="21" spans="2:79" x14ac:dyDescent="0.35">
      <c r="B21" s="58" t="s">
        <v>147</v>
      </c>
      <c r="C21" s="59">
        <v>1</v>
      </c>
      <c r="D21" s="59">
        <v>2</v>
      </c>
      <c r="E21" s="59">
        <v>3</v>
      </c>
      <c r="F21" s="59">
        <v>4</v>
      </c>
      <c r="G21" s="59">
        <v>5</v>
      </c>
      <c r="H21" s="59">
        <v>6</v>
      </c>
      <c r="I21" s="59">
        <v>7</v>
      </c>
      <c r="J21" s="59">
        <v>8</v>
      </c>
      <c r="K21" s="59"/>
      <c r="L21" s="59"/>
      <c r="M21" s="59"/>
      <c r="N21" s="59"/>
      <c r="O21" s="80"/>
      <c r="P21" s="80"/>
      <c r="Q21" s="12"/>
      <c r="R21" s="12"/>
      <c r="S21" s="12"/>
      <c r="T21" s="12"/>
    </row>
    <row r="22" spans="2:79" x14ac:dyDescent="0.35">
      <c r="B22" s="58" t="s">
        <v>72</v>
      </c>
      <c r="C22" s="59">
        <v>2023</v>
      </c>
      <c r="D22" s="59">
        <v>2024</v>
      </c>
      <c r="E22" s="59">
        <v>2025</v>
      </c>
      <c r="F22" s="59">
        <v>2026</v>
      </c>
      <c r="G22" s="59"/>
      <c r="H22" s="59"/>
      <c r="I22" s="59"/>
      <c r="J22" s="59">
        <v>2030</v>
      </c>
      <c r="K22" s="59">
        <v>2031</v>
      </c>
      <c r="L22" s="59">
        <v>2028</v>
      </c>
      <c r="M22" s="59">
        <v>2029</v>
      </c>
      <c r="N22" s="59">
        <v>2030</v>
      </c>
      <c r="O22" s="59">
        <v>2031</v>
      </c>
      <c r="P22" s="60">
        <v>2032</v>
      </c>
      <c r="Q22" s="12"/>
      <c r="R22" s="12"/>
      <c r="S22" s="12"/>
      <c r="T22" s="12"/>
    </row>
    <row r="23" spans="2:79" x14ac:dyDescent="0.35">
      <c r="B23" s="58" t="s">
        <v>22</v>
      </c>
      <c r="C23" s="59" t="s">
        <v>78</v>
      </c>
      <c r="D23" s="59" t="s">
        <v>78</v>
      </c>
      <c r="E23" s="59" t="s">
        <v>77</v>
      </c>
      <c r="F23" s="59" t="s">
        <v>78</v>
      </c>
      <c r="G23" s="59"/>
      <c r="H23" s="59"/>
      <c r="I23" s="59"/>
      <c r="J23" s="59"/>
      <c r="K23" s="59"/>
      <c r="L23" s="59"/>
      <c r="M23" s="59"/>
      <c r="N23" s="59"/>
      <c r="O23" s="59"/>
      <c r="P23" s="60"/>
      <c r="Q23" s="12"/>
      <c r="R23" s="12"/>
      <c r="S23" s="12"/>
      <c r="T23" s="12"/>
    </row>
    <row r="24" spans="2:79" x14ac:dyDescent="0.35">
      <c r="B24" s="58" t="s">
        <v>33</v>
      </c>
      <c r="C24" s="59" t="s">
        <v>34</v>
      </c>
      <c r="D24" s="59" t="s">
        <v>34</v>
      </c>
      <c r="E24" s="59" t="s">
        <v>34</v>
      </c>
      <c r="F24" s="59" t="s">
        <v>53</v>
      </c>
      <c r="G24" s="59" t="s">
        <v>34</v>
      </c>
      <c r="H24" s="59" t="s">
        <v>34</v>
      </c>
      <c r="I24" s="59" t="s">
        <v>34</v>
      </c>
      <c r="J24" s="59" t="s">
        <v>34</v>
      </c>
      <c r="K24" s="59" t="s">
        <v>34</v>
      </c>
      <c r="L24" s="59" t="s">
        <v>34</v>
      </c>
      <c r="M24" s="59" t="s">
        <v>34</v>
      </c>
      <c r="N24" s="59" t="s">
        <v>34</v>
      </c>
      <c r="O24" s="59" t="s">
        <v>34</v>
      </c>
      <c r="P24" s="60" t="s">
        <v>34</v>
      </c>
      <c r="Q24" s="12"/>
      <c r="R24" s="12"/>
      <c r="S24" s="12"/>
      <c r="T24" s="12"/>
    </row>
    <row r="25" spans="2:79" x14ac:dyDescent="0.35">
      <c r="B25" s="58" t="s">
        <v>149</v>
      </c>
      <c r="C25" s="82">
        <v>44927</v>
      </c>
      <c r="D25" s="82">
        <v>45292</v>
      </c>
      <c r="E25" s="82">
        <v>45658</v>
      </c>
      <c r="F25" s="82">
        <v>46023</v>
      </c>
      <c r="G25" s="59"/>
      <c r="H25" s="59"/>
      <c r="I25" s="59"/>
      <c r="J25" s="59"/>
      <c r="K25" s="59"/>
      <c r="L25" s="59"/>
      <c r="M25" s="59"/>
      <c r="N25" s="59"/>
      <c r="O25" s="59"/>
      <c r="P25" s="60"/>
      <c r="Q25" s="12"/>
      <c r="R25" s="12"/>
      <c r="S25" s="12"/>
      <c r="T25" s="12"/>
    </row>
    <row r="26" spans="2:79" x14ac:dyDescent="0.35">
      <c r="B26" s="58" t="s">
        <v>150</v>
      </c>
      <c r="C26" s="82">
        <v>45291</v>
      </c>
      <c r="D26" s="82">
        <v>45657</v>
      </c>
      <c r="E26" s="82">
        <v>46022</v>
      </c>
      <c r="F26" s="82">
        <v>46387</v>
      </c>
      <c r="G26" s="82"/>
      <c r="H26" s="82"/>
      <c r="I26" s="82"/>
      <c r="J26" s="82"/>
      <c r="K26" s="82"/>
      <c r="L26" s="82"/>
      <c r="M26" s="82"/>
      <c r="N26" s="59"/>
      <c r="O26" s="59"/>
      <c r="P26" s="60"/>
      <c r="Q26" s="12"/>
      <c r="R26" s="12"/>
      <c r="S26" s="12"/>
      <c r="T26" s="12"/>
    </row>
    <row r="28" spans="2:79" x14ac:dyDescent="0.35">
      <c r="B28" s="98" t="s">
        <v>79</v>
      </c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M28" s="99"/>
      <c r="AN28" s="99"/>
      <c r="AO28" s="99"/>
      <c r="AP28" s="99"/>
      <c r="AQ28" s="99"/>
      <c r="AR28" s="99"/>
      <c r="AS28" s="99"/>
      <c r="AT28" s="99"/>
      <c r="AU28" s="99"/>
      <c r="AV28" s="99"/>
      <c r="AW28" s="99"/>
    </row>
    <row r="29" spans="2:79" x14ac:dyDescent="0.35">
      <c r="B29" s="24"/>
      <c r="C29" s="24" t="s">
        <v>64</v>
      </c>
      <c r="D29" s="24" t="s">
        <v>66</v>
      </c>
      <c r="E29" s="24" t="s">
        <v>67</v>
      </c>
      <c r="F29" s="24" t="s">
        <v>68</v>
      </c>
      <c r="G29" s="24" t="s">
        <v>69</v>
      </c>
      <c r="H29" s="24" t="s">
        <v>70</v>
      </c>
      <c r="I29" s="24" t="s">
        <v>80</v>
      </c>
      <c r="J29" s="24" t="s">
        <v>81</v>
      </c>
      <c r="K29" s="24" t="s">
        <v>82</v>
      </c>
      <c r="L29" s="24" t="s">
        <v>83</v>
      </c>
      <c r="M29" s="24" t="s">
        <v>84</v>
      </c>
      <c r="N29" s="24" t="s">
        <v>85</v>
      </c>
      <c r="O29" s="24" t="s">
        <v>86</v>
      </c>
      <c r="P29" s="24" t="s">
        <v>87</v>
      </c>
      <c r="Q29" s="24" t="s">
        <v>88</v>
      </c>
      <c r="R29" s="24" t="s">
        <v>89</v>
      </c>
      <c r="S29" s="24" t="s">
        <v>90</v>
      </c>
      <c r="T29" s="24" t="s">
        <v>91</v>
      </c>
      <c r="U29" s="24" t="s">
        <v>92</v>
      </c>
      <c r="V29" s="24" t="s">
        <v>93</v>
      </c>
      <c r="W29" s="24" t="s">
        <v>94</v>
      </c>
      <c r="X29" s="24" t="s">
        <v>95</v>
      </c>
      <c r="Y29" s="24" t="s">
        <v>96</v>
      </c>
      <c r="Z29" s="24" t="s">
        <v>97</v>
      </c>
      <c r="AA29" s="24" t="s">
        <v>98</v>
      </c>
      <c r="AB29" s="24" t="s">
        <v>99</v>
      </c>
      <c r="AC29" s="24" t="s">
        <v>100</v>
      </c>
      <c r="AD29" s="24" t="s">
        <v>101</v>
      </c>
      <c r="AE29" s="24" t="s">
        <v>102</v>
      </c>
      <c r="AF29" s="24" t="s">
        <v>103</v>
      </c>
      <c r="AG29" s="24" t="s">
        <v>104</v>
      </c>
      <c r="AH29" s="24" t="s">
        <v>105</v>
      </c>
      <c r="AI29" s="24" t="s">
        <v>106</v>
      </c>
      <c r="AJ29" s="24" t="s">
        <v>107</v>
      </c>
      <c r="AK29" s="24" t="s">
        <v>108</v>
      </c>
      <c r="AL29" s="24" t="s">
        <v>109</v>
      </c>
      <c r="AM29" s="24" t="s">
        <v>110</v>
      </c>
      <c r="AN29" s="24" t="s">
        <v>111</v>
      </c>
      <c r="AO29" s="24" t="s">
        <v>112</v>
      </c>
      <c r="AP29" s="24" t="s">
        <v>113</v>
      </c>
      <c r="AQ29" s="24" t="s">
        <v>114</v>
      </c>
      <c r="AR29" s="24" t="s">
        <v>115</v>
      </c>
      <c r="AS29" s="24" t="s">
        <v>116</v>
      </c>
      <c r="AT29" s="24" t="s">
        <v>117</v>
      </c>
      <c r="AU29" s="24" t="s">
        <v>118</v>
      </c>
      <c r="AV29" s="24" t="s">
        <v>119</v>
      </c>
      <c r="AW29" s="24" t="s">
        <v>120</v>
      </c>
    </row>
    <row r="30" spans="2:79" ht="16.5" x14ac:dyDescent="0.35">
      <c r="B30" s="13" t="s">
        <v>71</v>
      </c>
      <c r="C30" s="39">
        <v>45341</v>
      </c>
      <c r="D30" s="39">
        <v>45341</v>
      </c>
      <c r="E30" s="39">
        <v>45341</v>
      </c>
      <c r="F30" s="39">
        <v>45355</v>
      </c>
      <c r="G30" s="39">
        <v>45757</v>
      </c>
      <c r="H30" s="39">
        <v>45754</v>
      </c>
      <c r="I30" s="39">
        <v>45792</v>
      </c>
      <c r="J30" s="39"/>
      <c r="K30" s="39"/>
      <c r="L30" s="39"/>
      <c r="M30" s="39"/>
      <c r="N30" s="39"/>
      <c r="O30" s="39"/>
      <c r="P30" s="39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</row>
    <row r="31" spans="2:79" x14ac:dyDescent="0.35">
      <c r="B31" s="13" t="s">
        <v>72</v>
      </c>
      <c r="C31" s="7">
        <v>2024</v>
      </c>
      <c r="D31" s="7">
        <v>2024</v>
      </c>
      <c r="E31" s="7">
        <v>2024</v>
      </c>
      <c r="F31" s="7">
        <v>2024</v>
      </c>
      <c r="G31" s="7">
        <v>2025</v>
      </c>
      <c r="H31" s="7">
        <v>2025</v>
      </c>
      <c r="I31" s="7">
        <v>2025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>
        <v>2043</v>
      </c>
      <c r="AD31" s="7">
        <v>2044</v>
      </c>
      <c r="AE31" s="7">
        <v>2045</v>
      </c>
      <c r="AF31" s="7">
        <v>2024</v>
      </c>
      <c r="AG31" s="7">
        <v>2047</v>
      </c>
      <c r="AH31" s="7">
        <v>2024</v>
      </c>
      <c r="AI31" s="7">
        <v>2029</v>
      </c>
      <c r="AJ31" s="7">
        <v>2024</v>
      </c>
      <c r="AK31" s="7">
        <v>2038</v>
      </c>
      <c r="AL31" s="7">
        <v>2039</v>
      </c>
      <c r="AM31" s="7">
        <v>2040</v>
      </c>
      <c r="AN31" s="7">
        <v>2041</v>
      </c>
      <c r="AO31" s="7">
        <v>2042</v>
      </c>
      <c r="AP31" s="7">
        <v>2043</v>
      </c>
      <c r="AQ31" s="7">
        <v>2044</v>
      </c>
      <c r="AR31" s="7">
        <v>2045</v>
      </c>
      <c r="AS31" s="7">
        <v>2024</v>
      </c>
      <c r="AT31" s="7">
        <v>2047</v>
      </c>
      <c r="AU31" s="7">
        <v>2024</v>
      </c>
      <c r="AV31" s="7">
        <v>2029</v>
      </c>
      <c r="AW31" s="7">
        <v>2024</v>
      </c>
      <c r="BZ31" s="12" t="e">
        <f>#REF!</f>
        <v>#REF!</v>
      </c>
      <c r="CA31" s="12" t="e">
        <f>#REF!</f>
        <v>#REF!</v>
      </c>
    </row>
    <row r="32" spans="2:79" x14ac:dyDescent="0.35">
      <c r="B32" s="13" t="s">
        <v>15</v>
      </c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8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8"/>
      <c r="AW32" s="7"/>
    </row>
    <row r="33" spans="2:49" x14ac:dyDescent="0.35">
      <c r="B33" s="13" t="s">
        <v>123</v>
      </c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8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8"/>
      <c r="AW33" s="7"/>
    </row>
    <row r="34" spans="2:49" x14ac:dyDescent="0.35">
      <c r="B34" s="13" t="s">
        <v>125</v>
      </c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2"/>
      <c r="AJ34" s="61"/>
      <c r="AK34" s="61"/>
      <c r="AL34" s="61"/>
      <c r="AM34" s="61"/>
      <c r="AN34" s="61"/>
      <c r="AO34" s="61"/>
      <c r="AP34" s="61"/>
      <c r="AQ34" s="61"/>
      <c r="AR34" s="61"/>
      <c r="AS34" s="61"/>
      <c r="AT34" s="61"/>
      <c r="AU34" s="61"/>
      <c r="AV34" s="62"/>
      <c r="AW34" s="61"/>
    </row>
    <row r="35" spans="2:49" x14ac:dyDescent="0.35">
      <c r="B35" s="13" t="s">
        <v>143</v>
      </c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2"/>
      <c r="AJ35" s="61"/>
      <c r="AK35" s="61"/>
      <c r="AL35" s="61"/>
      <c r="AM35" s="61"/>
      <c r="AN35" s="61"/>
      <c r="AO35" s="61"/>
      <c r="AP35" s="61"/>
      <c r="AQ35" s="61"/>
      <c r="AR35" s="61"/>
      <c r="AS35" s="61"/>
      <c r="AT35" s="61"/>
      <c r="AU35" s="61"/>
      <c r="AV35" s="62"/>
      <c r="AW35" s="61"/>
    </row>
    <row r="36" spans="2:49" x14ac:dyDescent="0.35">
      <c r="B36" s="13" t="s">
        <v>124</v>
      </c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4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4"/>
      <c r="AW36" s="63"/>
    </row>
    <row r="37" spans="2:49" ht="15.5" customHeight="1" x14ac:dyDescent="0.35">
      <c r="B37" s="13" t="s">
        <v>65</v>
      </c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6"/>
      <c r="AJ37" s="65"/>
      <c r="AK37" s="65"/>
      <c r="AL37" s="65"/>
      <c r="AM37" s="65"/>
      <c r="AN37" s="65"/>
      <c r="AO37" s="65"/>
      <c r="AP37" s="65"/>
      <c r="AQ37" s="65"/>
      <c r="AR37" s="65"/>
      <c r="AS37" s="65"/>
      <c r="AT37" s="65"/>
      <c r="AU37" s="65"/>
      <c r="AV37" s="66"/>
      <c r="AW37" s="65"/>
    </row>
    <row r="38" spans="2:49" x14ac:dyDescent="0.35">
      <c r="B38" s="58" t="s">
        <v>32</v>
      </c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</row>
    <row r="39" spans="2:49" x14ac:dyDescent="0.35">
      <c r="B39" s="13" t="s">
        <v>144</v>
      </c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</row>
    <row r="40" spans="2:49" x14ac:dyDescent="0.35">
      <c r="B40" s="13" t="s">
        <v>145</v>
      </c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</row>
    <row r="41" spans="2:49" x14ac:dyDescent="0.35">
      <c r="B41" s="13" t="s">
        <v>146</v>
      </c>
      <c r="C41" s="79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</row>
    <row r="50" spans="3:3" x14ac:dyDescent="0.35">
      <c r="C50" s="37"/>
    </row>
  </sheetData>
  <mergeCells count="7">
    <mergeCell ref="B28:AW28"/>
    <mergeCell ref="B2:H2"/>
    <mergeCell ref="B19:H19"/>
    <mergeCell ref="C3:H3"/>
    <mergeCell ref="C4:H4"/>
    <mergeCell ref="C5:H5"/>
    <mergeCell ref="B20:P20"/>
  </mergeCells>
  <phoneticPr fontId="2" type="noConversion"/>
  <conditionalFormatting sqref="C34:C36 D34:F34">
    <cfRule type="expression" dxfId="13" priority="53">
      <formula>#REF!=#REF!</formula>
    </cfRule>
  </conditionalFormatting>
  <conditionalFormatting sqref="D35:D36">
    <cfRule type="expression" dxfId="12" priority="54">
      <formula>#REF!=#REF!</formula>
    </cfRule>
  </conditionalFormatting>
  <conditionalFormatting sqref="P34:AW36">
    <cfRule type="expression" dxfId="11" priority="55">
      <formula>#REF!=#REF!</formula>
    </cfRule>
  </conditionalFormatting>
  <conditionalFormatting sqref="F35:F36">
    <cfRule type="expression" dxfId="10" priority="102">
      <formula>#REF!=#REF!</formula>
    </cfRule>
  </conditionalFormatting>
  <conditionalFormatting sqref="N34:N36">
    <cfRule type="expression" dxfId="9" priority="104">
      <formula>#REF!=#REF!</formula>
    </cfRule>
  </conditionalFormatting>
  <conditionalFormatting sqref="O34:O36">
    <cfRule type="expression" dxfId="8" priority="116">
      <formula>V$55=#REF!</formula>
    </cfRule>
  </conditionalFormatting>
  <conditionalFormatting sqref="E35:E36 L35:L36">
    <cfRule type="expression" dxfId="7" priority="120">
      <formula>E$31=#REF!</formula>
    </cfRule>
  </conditionalFormatting>
  <conditionalFormatting sqref="G34:H34">
    <cfRule type="expression" dxfId="6" priority="9">
      <formula>#REF!=#REF!</formula>
    </cfRule>
  </conditionalFormatting>
  <conditionalFormatting sqref="H35:H36">
    <cfRule type="expression" dxfId="5" priority="7">
      <formula>#REF!=#REF!</formula>
    </cfRule>
  </conditionalFormatting>
  <conditionalFormatting sqref="G35:G36">
    <cfRule type="expression" dxfId="4" priority="8">
      <formula>G$31=#REF!</formula>
    </cfRule>
  </conditionalFormatting>
  <conditionalFormatting sqref="J34:J36 K34:M34">
    <cfRule type="expression" dxfId="3" priority="3">
      <formula>#REF!=#REF!</formula>
    </cfRule>
  </conditionalFormatting>
  <conditionalFormatting sqref="K35:K36">
    <cfRule type="expression" dxfId="2" priority="4">
      <formula>#REF!=#REF!</formula>
    </cfRule>
  </conditionalFormatting>
  <conditionalFormatting sqref="M35:M36">
    <cfRule type="expression" dxfId="1" priority="5">
      <formula>#REF!=#REF!</formula>
    </cfRule>
  </conditionalFormatting>
  <conditionalFormatting sqref="I34:I36">
    <cfRule type="expression" dxfId="0" priority="1">
      <formula>#REF!=#REF!</formula>
    </cfRule>
  </conditionalFormatting>
  <dataValidations count="7">
    <dataValidation type="list" allowBlank="1" showInputMessage="1" showErrorMessage="1" sqref="P24" xr:uid="{40FF00A9-AE84-410F-9F63-CD24EA859F23}">
      <formula1>"Pass through,Pass pull"</formula1>
    </dataValidation>
    <dataValidation type="list" allowBlank="1" showInputMessage="1" showErrorMessage="1" sqref="C32:AW32" xr:uid="{4504515C-72EF-47E4-AE4F-A34C05B1D35A}">
      <formula1>"YR,Q1,Q2,Q3,Q4,M1,M2,M3,M4,M5,M6,M7,M8,M9,M10,M11,M12"</formula1>
    </dataValidation>
    <dataValidation type="list" allowBlank="1" showInputMessage="1" showErrorMessage="1" sqref="C32:M32" xr:uid="{4E1FB66D-C244-42B5-9721-92205D6789FC}">
      <formula1>"YR,Q1,Q2,Q3,Q4"</formula1>
    </dataValidation>
    <dataValidation type="list" allowBlank="1" showInputMessage="1" showErrorMessage="1" sqref="C38:M38" xr:uid="{17EF07FD-5E8E-4EA2-B596-FB744AA7A4D9}">
      <formula1>"Teorico,Real"</formula1>
    </dataValidation>
    <dataValidation type="list" allowBlank="1" showInputMessage="1" showErrorMessage="1" sqref="C39:M39" xr:uid="{D9417A9A-9701-4DA4-A6E3-529C2D70161D}">
      <formula1>"Take or Trade,Take or Pay"</formula1>
    </dataValidation>
    <dataValidation type="list" allowBlank="1" showInputMessage="1" showErrorMessage="1" sqref="C33:AW33 C39:AW39" xr:uid="{376B8250-AACD-4F87-999D-F40BCEFFF3AF}">
      <formula1>"Porcentaje [%],Carga Base [MW]"</formula1>
    </dataValidation>
    <dataValidation type="list" allowBlank="1" showInputMessage="1" showErrorMessage="1" sqref="C24:O24" xr:uid="{3D666C46-09FC-4691-8521-3A65530483D9}">
      <formula1>"Pass through,Pass pool"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B07AD-5D29-416D-8692-25E68BCB19BF}">
  <sheetPr codeName="Hoja11">
    <tabColor theme="7" tint="0.79998168889431442"/>
  </sheetPr>
  <dimension ref="B1:AF48"/>
  <sheetViews>
    <sheetView showGridLines="0" zoomScale="55" zoomScaleNormal="55" workbookViewId="0">
      <selection activeCell="C5" sqref="C5"/>
    </sheetView>
  </sheetViews>
  <sheetFormatPr baseColWidth="10" defaultColWidth="11.54296875" defaultRowHeight="16.5" x14ac:dyDescent="0.35"/>
  <cols>
    <col min="1" max="1" width="3.36328125" style="38" customWidth="1"/>
    <col min="2" max="2" width="29" style="38" bestFit="1" customWidth="1"/>
    <col min="3" max="32" width="7.81640625" style="38" customWidth="1"/>
    <col min="33" max="16384" width="11.54296875" style="38"/>
  </cols>
  <sheetData>
    <row r="1" spans="2:32" ht="17" thickBot="1" x14ac:dyDescent="0.4"/>
    <row r="2" spans="2:32" x14ac:dyDescent="0.35">
      <c r="B2" s="109" t="s">
        <v>74</v>
      </c>
      <c r="C2" s="110"/>
      <c r="D2" s="110"/>
      <c r="E2" s="110"/>
      <c r="F2" s="110"/>
      <c r="G2" s="110"/>
      <c r="H2" s="110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2"/>
    </row>
    <row r="3" spans="2:32" x14ac:dyDescent="0.35">
      <c r="B3" s="46" t="s">
        <v>72</v>
      </c>
      <c r="C3" s="113">
        <v>2023</v>
      </c>
      <c r="D3" s="114"/>
      <c r="E3" s="114"/>
      <c r="F3" s="114"/>
      <c r="G3" s="114"/>
      <c r="H3" s="115"/>
      <c r="I3" s="113">
        <v>2024</v>
      </c>
      <c r="J3" s="114"/>
      <c r="K3" s="114"/>
      <c r="L3" s="114"/>
      <c r="M3" s="114"/>
      <c r="N3" s="115"/>
      <c r="O3" s="113">
        <v>2025</v>
      </c>
      <c r="P3" s="114"/>
      <c r="Q3" s="114"/>
      <c r="R3" s="114"/>
      <c r="S3" s="114"/>
      <c r="T3" s="115"/>
      <c r="U3" s="113">
        <v>2026</v>
      </c>
      <c r="V3" s="114"/>
      <c r="W3" s="114"/>
      <c r="X3" s="114"/>
      <c r="Y3" s="114"/>
      <c r="Z3" s="115"/>
      <c r="AA3" s="114">
        <v>2027</v>
      </c>
      <c r="AB3" s="114"/>
      <c r="AC3" s="114"/>
      <c r="AD3" s="114"/>
      <c r="AE3" s="114"/>
      <c r="AF3" s="115"/>
    </row>
    <row r="4" spans="2:32" x14ac:dyDescent="0.35">
      <c r="B4" s="46" t="s">
        <v>62</v>
      </c>
      <c r="C4" s="47" t="s">
        <v>1</v>
      </c>
      <c r="D4" s="48" t="s">
        <v>2</v>
      </c>
      <c r="E4" s="48" t="s">
        <v>3</v>
      </c>
      <c r="F4" s="48" t="s">
        <v>4</v>
      </c>
      <c r="G4" s="48" t="s">
        <v>5</v>
      </c>
      <c r="H4" s="49" t="s">
        <v>6</v>
      </c>
      <c r="I4" s="47" t="s">
        <v>1</v>
      </c>
      <c r="J4" s="48" t="s">
        <v>2</v>
      </c>
      <c r="K4" s="48" t="s">
        <v>3</v>
      </c>
      <c r="L4" s="48" t="s">
        <v>4</v>
      </c>
      <c r="M4" s="48" t="s">
        <v>5</v>
      </c>
      <c r="N4" s="49" t="s">
        <v>6</v>
      </c>
      <c r="O4" s="47" t="s">
        <v>1</v>
      </c>
      <c r="P4" s="48" t="s">
        <v>2</v>
      </c>
      <c r="Q4" s="48" t="s">
        <v>3</v>
      </c>
      <c r="R4" s="48" t="s">
        <v>4</v>
      </c>
      <c r="S4" s="48" t="s">
        <v>5</v>
      </c>
      <c r="T4" s="49" t="s">
        <v>6</v>
      </c>
      <c r="U4" s="47" t="s">
        <v>1</v>
      </c>
      <c r="V4" s="48" t="s">
        <v>2</v>
      </c>
      <c r="W4" s="48" t="s">
        <v>3</v>
      </c>
      <c r="X4" s="48" t="s">
        <v>4</v>
      </c>
      <c r="Y4" s="48" t="s">
        <v>5</v>
      </c>
      <c r="Z4" s="49" t="s">
        <v>6</v>
      </c>
      <c r="AA4" s="48" t="s">
        <v>1</v>
      </c>
      <c r="AB4" s="48" t="s">
        <v>2</v>
      </c>
      <c r="AC4" s="48" t="s">
        <v>3</v>
      </c>
      <c r="AD4" s="48" t="s">
        <v>4</v>
      </c>
      <c r="AE4" s="48" t="s">
        <v>5</v>
      </c>
      <c r="AF4" s="49" t="s">
        <v>6</v>
      </c>
    </row>
    <row r="5" spans="2:32" x14ac:dyDescent="0.35">
      <c r="B5" s="50" t="s">
        <v>138</v>
      </c>
      <c r="C5" s="41">
        <v>925</v>
      </c>
      <c r="D5" s="40">
        <v>925</v>
      </c>
      <c r="E5" s="40">
        <v>925</v>
      </c>
      <c r="F5" s="40">
        <v>925</v>
      </c>
      <c r="G5" s="40">
        <v>925</v>
      </c>
      <c r="H5" s="45">
        <v>1000</v>
      </c>
      <c r="I5" s="41">
        <v>925</v>
      </c>
      <c r="J5" s="40">
        <v>925</v>
      </c>
      <c r="K5" s="40">
        <v>925</v>
      </c>
      <c r="L5" s="40">
        <v>925</v>
      </c>
      <c r="M5" s="40">
        <v>925</v>
      </c>
      <c r="N5" s="45">
        <v>1000</v>
      </c>
      <c r="O5" s="41">
        <v>925</v>
      </c>
      <c r="P5" s="40">
        <v>925</v>
      </c>
      <c r="Q5" s="40">
        <v>925</v>
      </c>
      <c r="R5" s="40">
        <v>925</v>
      </c>
      <c r="S5" s="40">
        <v>925</v>
      </c>
      <c r="T5" s="45">
        <v>1000</v>
      </c>
      <c r="U5" s="41">
        <v>925</v>
      </c>
      <c r="V5" s="40">
        <v>925</v>
      </c>
      <c r="W5" s="40">
        <v>925</v>
      </c>
      <c r="X5" s="40">
        <v>925</v>
      </c>
      <c r="Y5" s="40">
        <v>925</v>
      </c>
      <c r="Z5" s="45">
        <v>1000</v>
      </c>
      <c r="AA5" s="41">
        <v>925</v>
      </c>
      <c r="AB5" s="40">
        <v>925</v>
      </c>
      <c r="AC5" s="40">
        <v>925</v>
      </c>
      <c r="AD5" s="40">
        <v>925</v>
      </c>
      <c r="AE5" s="40">
        <v>925</v>
      </c>
      <c r="AF5" s="45">
        <v>1000</v>
      </c>
    </row>
    <row r="6" spans="2:32" x14ac:dyDescent="0.35">
      <c r="B6" s="50" t="s">
        <v>139</v>
      </c>
      <c r="C6" s="41">
        <v>900</v>
      </c>
      <c r="D6" s="40">
        <v>900</v>
      </c>
      <c r="E6" s="40">
        <v>900</v>
      </c>
      <c r="F6" s="40">
        <v>900</v>
      </c>
      <c r="G6" s="40">
        <v>900</v>
      </c>
      <c r="H6" s="45">
        <v>1000</v>
      </c>
      <c r="I6" s="41">
        <v>900</v>
      </c>
      <c r="J6" s="40">
        <v>900</v>
      </c>
      <c r="K6" s="40">
        <v>900</v>
      </c>
      <c r="L6" s="40">
        <v>900</v>
      </c>
      <c r="M6" s="40">
        <v>900</v>
      </c>
      <c r="N6" s="45">
        <v>1000</v>
      </c>
      <c r="O6" s="41">
        <v>900</v>
      </c>
      <c r="P6" s="40">
        <v>900</v>
      </c>
      <c r="Q6" s="40">
        <v>900</v>
      </c>
      <c r="R6" s="40">
        <v>900</v>
      </c>
      <c r="S6" s="40">
        <v>900</v>
      </c>
      <c r="T6" s="45">
        <v>1000</v>
      </c>
      <c r="U6" s="41">
        <v>900</v>
      </c>
      <c r="V6" s="40">
        <v>900</v>
      </c>
      <c r="W6" s="40">
        <v>900</v>
      </c>
      <c r="X6" s="40">
        <v>900</v>
      </c>
      <c r="Y6" s="40">
        <v>900</v>
      </c>
      <c r="Z6" s="45">
        <v>1000</v>
      </c>
      <c r="AA6" s="41">
        <v>900</v>
      </c>
      <c r="AB6" s="40">
        <v>900</v>
      </c>
      <c r="AC6" s="40">
        <v>900</v>
      </c>
      <c r="AD6" s="40">
        <v>900</v>
      </c>
      <c r="AE6" s="40">
        <v>900</v>
      </c>
      <c r="AF6" s="45">
        <v>1000</v>
      </c>
    </row>
    <row r="7" spans="2:32" x14ac:dyDescent="0.35">
      <c r="B7" s="50" t="s">
        <v>140</v>
      </c>
      <c r="C7" s="41">
        <v>420</v>
      </c>
      <c r="D7" s="40">
        <v>420</v>
      </c>
      <c r="E7" s="40">
        <v>420</v>
      </c>
      <c r="F7" s="40">
        <v>420</v>
      </c>
      <c r="G7" s="40">
        <v>420</v>
      </c>
      <c r="H7" s="45">
        <v>750</v>
      </c>
      <c r="I7" s="41">
        <v>420</v>
      </c>
      <c r="J7" s="40">
        <v>420</v>
      </c>
      <c r="K7" s="40">
        <v>420</v>
      </c>
      <c r="L7" s="40">
        <v>420</v>
      </c>
      <c r="M7" s="40">
        <v>420</v>
      </c>
      <c r="N7" s="45">
        <v>750</v>
      </c>
      <c r="O7" s="41">
        <v>420</v>
      </c>
      <c r="P7" s="40">
        <v>420</v>
      </c>
      <c r="Q7" s="40">
        <v>420</v>
      </c>
      <c r="R7" s="40">
        <v>420</v>
      </c>
      <c r="S7" s="40">
        <v>420</v>
      </c>
      <c r="T7" s="45">
        <v>750</v>
      </c>
      <c r="U7" s="41">
        <v>420</v>
      </c>
      <c r="V7" s="40">
        <v>420</v>
      </c>
      <c r="W7" s="40">
        <v>420</v>
      </c>
      <c r="X7" s="40">
        <v>420</v>
      </c>
      <c r="Y7" s="40">
        <v>420</v>
      </c>
      <c r="Z7" s="45">
        <v>750</v>
      </c>
      <c r="AA7" s="41">
        <v>420</v>
      </c>
      <c r="AB7" s="40">
        <v>420</v>
      </c>
      <c r="AC7" s="40">
        <v>420</v>
      </c>
      <c r="AD7" s="40">
        <v>420</v>
      </c>
      <c r="AE7" s="40">
        <v>420</v>
      </c>
      <c r="AF7" s="45">
        <v>750</v>
      </c>
    </row>
    <row r="8" spans="2:32" x14ac:dyDescent="0.35">
      <c r="B8" s="50" t="s">
        <v>141</v>
      </c>
      <c r="C8" s="41">
        <v>155</v>
      </c>
      <c r="D8" s="40">
        <v>155</v>
      </c>
      <c r="E8" s="40">
        <v>155</v>
      </c>
      <c r="F8" s="40">
        <v>155</v>
      </c>
      <c r="G8" s="40">
        <v>155</v>
      </c>
      <c r="H8" s="45">
        <v>155</v>
      </c>
      <c r="I8" s="41">
        <v>155</v>
      </c>
      <c r="J8" s="40">
        <v>155</v>
      </c>
      <c r="K8" s="40">
        <v>155</v>
      </c>
      <c r="L8" s="40">
        <v>155</v>
      </c>
      <c r="M8" s="40">
        <v>155</v>
      </c>
      <c r="N8" s="45">
        <v>155</v>
      </c>
      <c r="O8" s="41">
        <v>155</v>
      </c>
      <c r="P8" s="40">
        <v>155</v>
      </c>
      <c r="Q8" s="40">
        <v>155</v>
      </c>
      <c r="R8" s="40">
        <v>155</v>
      </c>
      <c r="S8" s="40">
        <v>155</v>
      </c>
      <c r="T8" s="45">
        <v>155</v>
      </c>
      <c r="U8" s="41">
        <v>155</v>
      </c>
      <c r="V8" s="40">
        <v>155</v>
      </c>
      <c r="W8" s="40">
        <v>155</v>
      </c>
      <c r="X8" s="40">
        <v>155</v>
      </c>
      <c r="Y8" s="40">
        <v>155</v>
      </c>
      <c r="Z8" s="45">
        <v>155</v>
      </c>
      <c r="AA8" s="41">
        <v>155</v>
      </c>
      <c r="AB8" s="40">
        <v>155</v>
      </c>
      <c r="AC8" s="40">
        <v>155</v>
      </c>
      <c r="AD8" s="40">
        <v>155</v>
      </c>
      <c r="AE8" s="40">
        <v>155</v>
      </c>
      <c r="AF8" s="45">
        <v>155</v>
      </c>
    </row>
    <row r="9" spans="2:32" x14ac:dyDescent="0.35">
      <c r="B9" s="50"/>
      <c r="C9" s="41"/>
      <c r="D9" s="40"/>
      <c r="E9" s="40"/>
      <c r="F9" s="40"/>
      <c r="G9" s="40"/>
      <c r="H9" s="45"/>
      <c r="I9" s="41"/>
      <c r="J9" s="40"/>
      <c r="K9" s="40"/>
      <c r="L9" s="40"/>
      <c r="M9" s="40"/>
      <c r="N9" s="45"/>
      <c r="O9" s="41"/>
      <c r="P9" s="40"/>
      <c r="Q9" s="40"/>
      <c r="R9" s="40"/>
      <c r="S9" s="40"/>
      <c r="T9" s="45"/>
      <c r="U9" s="41"/>
      <c r="V9" s="40"/>
      <c r="W9" s="40"/>
      <c r="X9" s="40"/>
      <c r="Y9" s="40"/>
      <c r="Z9" s="45"/>
      <c r="AA9" s="41"/>
      <c r="AB9" s="40"/>
      <c r="AC9" s="40"/>
      <c r="AD9" s="40"/>
      <c r="AE9" s="40"/>
      <c r="AF9" s="45"/>
    </row>
    <row r="10" spans="2:32" x14ac:dyDescent="0.35">
      <c r="B10" s="50"/>
      <c r="C10" s="41"/>
      <c r="D10" s="40"/>
      <c r="E10" s="40"/>
      <c r="F10" s="40"/>
      <c r="G10" s="40"/>
      <c r="H10" s="45"/>
      <c r="I10" s="41"/>
      <c r="J10" s="40"/>
      <c r="K10" s="40"/>
      <c r="L10" s="40"/>
      <c r="M10" s="40"/>
      <c r="N10" s="45"/>
      <c r="O10" s="41"/>
      <c r="P10" s="40"/>
      <c r="Q10" s="40"/>
      <c r="R10" s="40"/>
      <c r="S10" s="40"/>
      <c r="T10" s="45"/>
      <c r="U10" s="41"/>
      <c r="V10" s="40"/>
      <c r="W10" s="40"/>
      <c r="X10" s="40"/>
      <c r="Y10" s="40"/>
      <c r="Z10" s="45"/>
      <c r="AA10" s="41"/>
      <c r="AB10" s="40"/>
      <c r="AC10" s="40"/>
      <c r="AD10" s="40"/>
      <c r="AE10" s="40"/>
      <c r="AF10" s="45"/>
    </row>
    <row r="11" spans="2:32" x14ac:dyDescent="0.35">
      <c r="B11" s="50"/>
      <c r="C11" s="41"/>
      <c r="D11" s="40"/>
      <c r="E11" s="40"/>
      <c r="F11" s="40"/>
      <c r="G11" s="40"/>
      <c r="H11" s="45"/>
      <c r="I11" s="41"/>
      <c r="J11" s="40"/>
      <c r="K11" s="40"/>
      <c r="L11" s="40"/>
      <c r="M11" s="40"/>
      <c r="N11" s="45"/>
      <c r="O11" s="41"/>
      <c r="P11" s="40"/>
      <c r="Q11" s="40"/>
      <c r="R11" s="40"/>
      <c r="S11" s="40"/>
      <c r="T11" s="45"/>
      <c r="U11" s="41"/>
      <c r="V11" s="40"/>
      <c r="W11" s="40"/>
      <c r="X11" s="40"/>
      <c r="Y11" s="40"/>
      <c r="Z11" s="45"/>
      <c r="AA11" s="41"/>
      <c r="AB11" s="40"/>
      <c r="AC11" s="40"/>
      <c r="AD11" s="40"/>
      <c r="AE11" s="40"/>
      <c r="AF11" s="45"/>
    </row>
    <row r="12" spans="2:32" x14ac:dyDescent="0.35">
      <c r="B12" s="50"/>
      <c r="C12" s="41"/>
      <c r="D12" s="40"/>
      <c r="E12" s="40"/>
      <c r="F12" s="40"/>
      <c r="G12" s="40"/>
      <c r="H12" s="45"/>
      <c r="I12" s="41"/>
      <c r="J12" s="40"/>
      <c r="K12" s="40"/>
      <c r="L12" s="40"/>
      <c r="M12" s="40"/>
      <c r="N12" s="45"/>
      <c r="O12" s="41"/>
      <c r="P12" s="40"/>
      <c r="Q12" s="40"/>
      <c r="R12" s="40"/>
      <c r="S12" s="40"/>
      <c r="T12" s="45"/>
      <c r="U12" s="41"/>
      <c r="V12" s="40"/>
      <c r="W12" s="40"/>
      <c r="X12" s="40"/>
      <c r="Y12" s="40"/>
      <c r="Z12" s="45"/>
      <c r="AA12" s="41"/>
      <c r="AB12" s="40"/>
      <c r="AC12" s="40"/>
      <c r="AD12" s="40"/>
      <c r="AE12" s="40"/>
      <c r="AF12" s="45"/>
    </row>
    <row r="13" spans="2:32" x14ac:dyDescent="0.35">
      <c r="B13" s="50"/>
      <c r="C13" s="41"/>
      <c r="D13" s="40"/>
      <c r="E13" s="40"/>
      <c r="F13" s="40"/>
      <c r="G13" s="40"/>
      <c r="H13" s="45"/>
      <c r="I13" s="41"/>
      <c r="J13" s="40"/>
      <c r="K13" s="40"/>
      <c r="L13" s="40"/>
      <c r="M13" s="40"/>
      <c r="N13" s="45"/>
      <c r="O13" s="41"/>
      <c r="P13" s="40"/>
      <c r="Q13" s="40"/>
      <c r="R13" s="40"/>
      <c r="S13" s="40"/>
      <c r="T13" s="45"/>
      <c r="U13" s="41"/>
      <c r="V13" s="40"/>
      <c r="W13" s="40"/>
      <c r="X13" s="40"/>
      <c r="Y13" s="40"/>
      <c r="Z13" s="45"/>
      <c r="AA13" s="41"/>
      <c r="AB13" s="40"/>
      <c r="AC13" s="40"/>
      <c r="AD13" s="40"/>
      <c r="AE13" s="40"/>
      <c r="AF13" s="45"/>
    </row>
    <row r="14" spans="2:32" x14ac:dyDescent="0.35">
      <c r="B14" s="50"/>
      <c r="C14" s="41"/>
      <c r="D14" s="40"/>
      <c r="E14" s="40"/>
      <c r="F14" s="40"/>
      <c r="G14" s="40"/>
      <c r="H14" s="45"/>
      <c r="I14" s="41"/>
      <c r="J14" s="40"/>
      <c r="K14" s="40"/>
      <c r="L14" s="40"/>
      <c r="M14" s="40"/>
      <c r="N14" s="45"/>
      <c r="O14" s="41"/>
      <c r="P14" s="40"/>
      <c r="Q14" s="40"/>
      <c r="R14" s="40"/>
      <c r="S14" s="40"/>
      <c r="T14" s="45"/>
      <c r="U14" s="41"/>
      <c r="V14" s="40"/>
      <c r="W14" s="40"/>
      <c r="X14" s="40"/>
      <c r="Y14" s="40"/>
      <c r="Z14" s="45"/>
      <c r="AA14" s="41"/>
      <c r="AB14" s="40"/>
      <c r="AC14" s="40"/>
      <c r="AD14" s="40"/>
      <c r="AE14" s="40"/>
      <c r="AF14" s="45"/>
    </row>
    <row r="15" spans="2:32" x14ac:dyDescent="0.35">
      <c r="B15" s="50"/>
      <c r="C15" s="41"/>
      <c r="D15" s="40"/>
      <c r="E15" s="40"/>
      <c r="F15" s="40"/>
      <c r="G15" s="40"/>
      <c r="H15" s="45"/>
      <c r="I15" s="41"/>
      <c r="J15" s="40"/>
      <c r="K15" s="40"/>
      <c r="L15" s="40"/>
      <c r="M15" s="40"/>
      <c r="N15" s="45"/>
      <c r="O15" s="41"/>
      <c r="P15" s="40"/>
      <c r="Q15" s="40"/>
      <c r="R15" s="40"/>
      <c r="S15" s="40"/>
      <c r="T15" s="45"/>
      <c r="U15" s="41"/>
      <c r="V15" s="40"/>
      <c r="W15" s="40"/>
      <c r="X15" s="40"/>
      <c r="Y15" s="40"/>
      <c r="Z15" s="45"/>
      <c r="AA15" s="41"/>
      <c r="AB15" s="40"/>
      <c r="AC15" s="40"/>
      <c r="AD15" s="40"/>
      <c r="AE15" s="40"/>
      <c r="AF15" s="45"/>
    </row>
    <row r="16" spans="2:32" x14ac:dyDescent="0.35">
      <c r="B16" s="50"/>
      <c r="C16" s="41"/>
      <c r="D16" s="40"/>
      <c r="E16" s="40"/>
      <c r="F16" s="40"/>
      <c r="G16" s="40"/>
      <c r="H16" s="45"/>
      <c r="I16" s="41"/>
      <c r="J16" s="40"/>
      <c r="K16" s="40"/>
      <c r="L16" s="40"/>
      <c r="M16" s="40"/>
      <c r="N16" s="45"/>
      <c r="O16" s="41"/>
      <c r="P16" s="40"/>
      <c r="Q16" s="40"/>
      <c r="R16" s="40"/>
      <c r="S16" s="40"/>
      <c r="T16" s="45"/>
      <c r="U16" s="41"/>
      <c r="V16" s="40"/>
      <c r="W16" s="40"/>
      <c r="X16" s="40"/>
      <c r="Y16" s="40"/>
      <c r="Z16" s="45"/>
      <c r="AA16" s="41"/>
      <c r="AB16" s="40"/>
      <c r="AC16" s="40"/>
      <c r="AD16" s="40"/>
      <c r="AE16" s="40"/>
      <c r="AF16" s="45"/>
    </row>
    <row r="17" spans="2:32" x14ac:dyDescent="0.35">
      <c r="B17" s="50"/>
      <c r="C17" s="41"/>
      <c r="D17" s="40"/>
      <c r="E17" s="40"/>
      <c r="F17" s="40"/>
      <c r="G17" s="40"/>
      <c r="H17" s="45"/>
      <c r="I17" s="41"/>
      <c r="J17" s="40"/>
      <c r="K17" s="40"/>
      <c r="L17" s="40"/>
      <c r="M17" s="40"/>
      <c r="N17" s="45"/>
      <c r="O17" s="41"/>
      <c r="P17" s="40"/>
      <c r="Q17" s="40"/>
      <c r="R17" s="40"/>
      <c r="S17" s="40"/>
      <c r="T17" s="45"/>
      <c r="U17" s="41"/>
      <c r="V17" s="40"/>
      <c r="W17" s="40"/>
      <c r="X17" s="40"/>
      <c r="Y17" s="40"/>
      <c r="Z17" s="45"/>
      <c r="AA17" s="41"/>
      <c r="AB17" s="40"/>
      <c r="AC17" s="40"/>
      <c r="AD17" s="40"/>
      <c r="AE17" s="40"/>
      <c r="AF17" s="45"/>
    </row>
    <row r="18" spans="2:32" x14ac:dyDescent="0.35">
      <c r="B18" s="50"/>
      <c r="C18" s="41"/>
      <c r="D18" s="40"/>
      <c r="E18" s="40"/>
      <c r="F18" s="40"/>
      <c r="G18" s="40"/>
      <c r="H18" s="45"/>
      <c r="I18" s="41"/>
      <c r="J18" s="40"/>
      <c r="K18" s="40"/>
      <c r="L18" s="40"/>
      <c r="M18" s="40"/>
      <c r="N18" s="45"/>
      <c r="O18" s="41"/>
      <c r="P18" s="40"/>
      <c r="Q18" s="40"/>
      <c r="R18" s="40"/>
      <c r="S18" s="40"/>
      <c r="T18" s="45"/>
      <c r="U18" s="41"/>
      <c r="V18" s="40"/>
      <c r="W18" s="40"/>
      <c r="X18" s="40"/>
      <c r="Y18" s="40"/>
      <c r="Z18" s="45"/>
      <c r="AA18" s="40"/>
      <c r="AB18" s="40"/>
      <c r="AC18" s="40"/>
      <c r="AD18" s="40"/>
      <c r="AE18" s="40"/>
      <c r="AF18" s="45"/>
    </row>
    <row r="19" spans="2:32" x14ac:dyDescent="0.35">
      <c r="B19" s="50"/>
      <c r="C19" s="41"/>
      <c r="D19" s="40"/>
      <c r="E19" s="40"/>
      <c r="F19" s="40"/>
      <c r="G19" s="40"/>
      <c r="H19" s="45"/>
      <c r="I19" s="41"/>
      <c r="J19" s="40"/>
      <c r="K19" s="40"/>
      <c r="L19" s="40"/>
      <c r="M19" s="40"/>
      <c r="N19" s="45"/>
      <c r="O19" s="41"/>
      <c r="P19" s="40"/>
      <c r="Q19" s="40"/>
      <c r="R19" s="40"/>
      <c r="S19" s="40"/>
      <c r="T19" s="45"/>
      <c r="U19" s="41"/>
      <c r="V19" s="40"/>
      <c r="W19" s="40"/>
      <c r="X19" s="40"/>
      <c r="Y19" s="40"/>
      <c r="Z19" s="45"/>
      <c r="AA19" s="40"/>
      <c r="AB19" s="40"/>
      <c r="AC19" s="40"/>
      <c r="AD19" s="40"/>
      <c r="AE19" s="40"/>
      <c r="AF19" s="45"/>
    </row>
    <row r="20" spans="2:32" x14ac:dyDescent="0.35">
      <c r="B20" s="50"/>
      <c r="C20" s="41"/>
      <c r="D20" s="40"/>
      <c r="E20" s="40"/>
      <c r="F20" s="40"/>
      <c r="G20" s="40"/>
      <c r="H20" s="45"/>
      <c r="I20" s="41"/>
      <c r="J20" s="40"/>
      <c r="K20" s="40"/>
      <c r="L20" s="40"/>
      <c r="M20" s="40"/>
      <c r="N20" s="45"/>
      <c r="O20" s="41"/>
      <c r="P20" s="40"/>
      <c r="Q20" s="40"/>
      <c r="R20" s="40"/>
      <c r="S20" s="40"/>
      <c r="T20" s="45"/>
      <c r="U20" s="41"/>
      <c r="V20" s="40"/>
      <c r="W20" s="40"/>
      <c r="X20" s="40"/>
      <c r="Y20" s="40"/>
      <c r="Z20" s="45"/>
      <c r="AA20" s="40"/>
      <c r="AB20" s="40"/>
      <c r="AC20" s="40"/>
      <c r="AD20" s="40"/>
      <c r="AE20" s="40"/>
      <c r="AF20" s="45"/>
    </row>
    <row r="21" spans="2:32" x14ac:dyDescent="0.35">
      <c r="B21" s="50"/>
      <c r="C21" s="41"/>
      <c r="D21" s="40"/>
      <c r="E21" s="40"/>
      <c r="F21" s="40"/>
      <c r="G21" s="40"/>
      <c r="H21" s="45"/>
      <c r="I21" s="41"/>
      <c r="J21" s="40"/>
      <c r="K21" s="40"/>
      <c r="L21" s="40"/>
      <c r="M21" s="40"/>
      <c r="N21" s="45"/>
      <c r="O21" s="41"/>
      <c r="P21" s="40"/>
      <c r="Q21" s="40"/>
      <c r="R21" s="40"/>
      <c r="S21" s="40"/>
      <c r="T21" s="45"/>
      <c r="U21" s="41"/>
      <c r="V21" s="40"/>
      <c r="W21" s="40"/>
      <c r="X21" s="40"/>
      <c r="Y21" s="40"/>
      <c r="Z21" s="45"/>
      <c r="AA21" s="40"/>
      <c r="AB21" s="40"/>
      <c r="AC21" s="40"/>
      <c r="AD21" s="40"/>
      <c r="AE21" s="40"/>
      <c r="AF21" s="45"/>
    </row>
    <row r="22" spans="2:32" x14ac:dyDescent="0.35">
      <c r="B22" s="50"/>
      <c r="C22" s="41"/>
      <c r="D22" s="40"/>
      <c r="E22" s="40"/>
      <c r="F22" s="40"/>
      <c r="G22" s="40"/>
      <c r="H22" s="45"/>
      <c r="I22" s="41"/>
      <c r="J22" s="40"/>
      <c r="K22" s="40"/>
      <c r="L22" s="40"/>
      <c r="M22" s="40"/>
      <c r="N22" s="45"/>
      <c r="O22" s="41"/>
      <c r="P22" s="40"/>
      <c r="Q22" s="40"/>
      <c r="R22" s="40"/>
      <c r="S22" s="40"/>
      <c r="T22" s="45"/>
      <c r="U22" s="41"/>
      <c r="V22" s="40"/>
      <c r="W22" s="40"/>
      <c r="X22" s="40"/>
      <c r="Y22" s="40"/>
      <c r="Z22" s="45"/>
      <c r="AA22" s="40"/>
      <c r="AB22" s="40"/>
      <c r="AC22" s="40"/>
      <c r="AD22" s="40"/>
      <c r="AE22" s="40"/>
      <c r="AF22" s="45"/>
    </row>
    <row r="23" spans="2:32" x14ac:dyDescent="0.35">
      <c r="B23" s="50"/>
      <c r="C23" s="41"/>
      <c r="D23" s="40"/>
      <c r="E23" s="40"/>
      <c r="F23" s="40"/>
      <c r="G23" s="40"/>
      <c r="H23" s="45"/>
      <c r="I23" s="41"/>
      <c r="J23" s="40"/>
      <c r="K23" s="40"/>
      <c r="L23" s="40"/>
      <c r="M23" s="40"/>
      <c r="N23" s="45"/>
      <c r="O23" s="41"/>
      <c r="P23" s="40"/>
      <c r="Q23" s="40"/>
      <c r="R23" s="40"/>
      <c r="S23" s="40"/>
      <c r="T23" s="45"/>
      <c r="U23" s="41"/>
      <c r="V23" s="40"/>
      <c r="W23" s="40"/>
      <c r="X23" s="40"/>
      <c r="Y23" s="40"/>
      <c r="Z23" s="45"/>
      <c r="AA23" s="40"/>
      <c r="AB23" s="40"/>
      <c r="AC23" s="40"/>
      <c r="AD23" s="40"/>
      <c r="AE23" s="40"/>
      <c r="AF23" s="45"/>
    </row>
    <row r="24" spans="2:32" x14ac:dyDescent="0.35">
      <c r="B24" s="50"/>
      <c r="C24" s="41"/>
      <c r="D24" s="40"/>
      <c r="E24" s="40"/>
      <c r="F24" s="40"/>
      <c r="G24" s="40"/>
      <c r="H24" s="45"/>
      <c r="I24" s="41"/>
      <c r="J24" s="40"/>
      <c r="K24" s="40"/>
      <c r="L24" s="40"/>
      <c r="M24" s="40"/>
      <c r="N24" s="45"/>
      <c r="O24" s="41"/>
      <c r="P24" s="40"/>
      <c r="Q24" s="40"/>
      <c r="R24" s="40"/>
      <c r="S24" s="40"/>
      <c r="T24" s="45"/>
      <c r="U24" s="41"/>
      <c r="V24" s="40"/>
      <c r="W24" s="40"/>
      <c r="X24" s="40"/>
      <c r="Y24" s="40"/>
      <c r="Z24" s="45"/>
      <c r="AA24" s="40"/>
      <c r="AB24" s="40"/>
      <c r="AC24" s="40"/>
      <c r="AD24" s="40"/>
      <c r="AE24" s="40"/>
      <c r="AF24" s="45"/>
    </row>
    <row r="25" spans="2:32" x14ac:dyDescent="0.35">
      <c r="B25" s="50"/>
      <c r="C25" s="41"/>
      <c r="D25" s="40"/>
      <c r="E25" s="40"/>
      <c r="F25" s="40"/>
      <c r="G25" s="40"/>
      <c r="H25" s="45"/>
      <c r="I25" s="41"/>
      <c r="J25" s="40"/>
      <c r="K25" s="40"/>
      <c r="L25" s="40"/>
      <c r="M25" s="40"/>
      <c r="N25" s="45"/>
      <c r="O25" s="41"/>
      <c r="P25" s="40"/>
      <c r="Q25" s="40"/>
      <c r="R25" s="40"/>
      <c r="S25" s="40"/>
      <c r="T25" s="45"/>
      <c r="U25" s="41"/>
      <c r="V25" s="40"/>
      <c r="W25" s="40"/>
      <c r="X25" s="40"/>
      <c r="Y25" s="40"/>
      <c r="Z25" s="45"/>
      <c r="AA25" s="40"/>
      <c r="AB25" s="40"/>
      <c r="AC25" s="40"/>
      <c r="AD25" s="40"/>
      <c r="AE25" s="40"/>
      <c r="AF25" s="45"/>
    </row>
    <row r="26" spans="2:32" x14ac:dyDescent="0.35">
      <c r="B26" s="50"/>
      <c r="C26" s="41"/>
      <c r="D26" s="40"/>
      <c r="E26" s="40"/>
      <c r="F26" s="40"/>
      <c r="G26" s="40"/>
      <c r="H26" s="45"/>
      <c r="I26" s="41"/>
      <c r="J26" s="40"/>
      <c r="K26" s="40"/>
      <c r="L26" s="40"/>
      <c r="M26" s="40"/>
      <c r="N26" s="45"/>
      <c r="O26" s="41"/>
      <c r="P26" s="40"/>
      <c r="Q26" s="40"/>
      <c r="R26" s="40"/>
      <c r="S26" s="40"/>
      <c r="T26" s="45"/>
      <c r="U26" s="41"/>
      <c r="V26" s="40"/>
      <c r="W26" s="40"/>
      <c r="X26" s="40"/>
      <c r="Y26" s="40"/>
      <c r="Z26" s="45"/>
      <c r="AA26" s="40"/>
      <c r="AB26" s="40"/>
      <c r="AC26" s="40"/>
      <c r="AD26" s="40"/>
      <c r="AE26" s="40"/>
      <c r="AF26" s="45"/>
    </row>
    <row r="27" spans="2:32" x14ac:dyDescent="0.35">
      <c r="B27" s="50"/>
      <c r="C27" s="41"/>
      <c r="D27" s="40"/>
      <c r="E27" s="40"/>
      <c r="F27" s="40"/>
      <c r="G27" s="40"/>
      <c r="H27" s="45"/>
      <c r="I27" s="41"/>
      <c r="J27" s="40"/>
      <c r="K27" s="40"/>
      <c r="L27" s="40"/>
      <c r="M27" s="40"/>
      <c r="N27" s="45"/>
      <c r="O27" s="41"/>
      <c r="P27" s="40"/>
      <c r="Q27" s="40"/>
      <c r="R27" s="40"/>
      <c r="S27" s="40"/>
      <c r="T27" s="45"/>
      <c r="U27" s="41"/>
      <c r="V27" s="40"/>
      <c r="W27" s="40"/>
      <c r="X27" s="40"/>
      <c r="Y27" s="40"/>
      <c r="Z27" s="45"/>
      <c r="AA27" s="40"/>
      <c r="AB27" s="40"/>
      <c r="AC27" s="40"/>
      <c r="AD27" s="40"/>
      <c r="AE27" s="40"/>
      <c r="AF27" s="45"/>
    </row>
    <row r="28" spans="2:32" x14ac:dyDescent="0.35">
      <c r="B28" s="50"/>
      <c r="C28" s="41"/>
      <c r="D28" s="40"/>
      <c r="E28" s="40"/>
      <c r="F28" s="40"/>
      <c r="G28" s="40"/>
      <c r="H28" s="45"/>
      <c r="I28" s="41"/>
      <c r="J28" s="40"/>
      <c r="K28" s="40"/>
      <c r="L28" s="40"/>
      <c r="M28" s="40"/>
      <c r="N28" s="45"/>
      <c r="O28" s="41"/>
      <c r="P28" s="40"/>
      <c r="Q28" s="40"/>
      <c r="R28" s="40"/>
      <c r="S28" s="40"/>
      <c r="T28" s="45"/>
      <c r="U28" s="41"/>
      <c r="V28" s="40"/>
      <c r="W28" s="40"/>
      <c r="X28" s="40"/>
      <c r="Y28" s="40"/>
      <c r="Z28" s="45"/>
      <c r="AA28" s="40"/>
      <c r="AB28" s="40"/>
      <c r="AC28" s="40"/>
      <c r="AD28" s="40"/>
      <c r="AE28" s="40"/>
      <c r="AF28" s="45"/>
    </row>
    <row r="29" spans="2:32" x14ac:dyDescent="0.35">
      <c r="B29" s="50"/>
      <c r="C29" s="41"/>
      <c r="D29" s="40"/>
      <c r="E29" s="40"/>
      <c r="F29" s="40"/>
      <c r="G29" s="40"/>
      <c r="H29" s="45"/>
      <c r="I29" s="41"/>
      <c r="J29" s="40"/>
      <c r="K29" s="40"/>
      <c r="L29" s="40"/>
      <c r="M29" s="40"/>
      <c r="N29" s="45"/>
      <c r="O29" s="41"/>
      <c r="P29" s="40"/>
      <c r="Q29" s="40"/>
      <c r="R29" s="40"/>
      <c r="S29" s="40"/>
      <c r="T29" s="45"/>
      <c r="U29" s="41"/>
      <c r="V29" s="40"/>
      <c r="W29" s="40"/>
      <c r="X29" s="40"/>
      <c r="Y29" s="40"/>
      <c r="Z29" s="45"/>
      <c r="AA29" s="40"/>
      <c r="AB29" s="40"/>
      <c r="AC29" s="40"/>
      <c r="AD29" s="40"/>
      <c r="AE29" s="40"/>
      <c r="AF29" s="45"/>
    </row>
    <row r="30" spans="2:32" x14ac:dyDescent="0.35">
      <c r="B30" s="50"/>
      <c r="C30" s="41"/>
      <c r="D30" s="40"/>
      <c r="E30" s="40"/>
      <c r="F30" s="40"/>
      <c r="G30" s="40"/>
      <c r="H30" s="45"/>
      <c r="I30" s="41"/>
      <c r="J30" s="40"/>
      <c r="K30" s="40"/>
      <c r="L30" s="40"/>
      <c r="M30" s="40"/>
      <c r="N30" s="45"/>
      <c r="O30" s="41"/>
      <c r="P30" s="40"/>
      <c r="Q30" s="40"/>
      <c r="R30" s="40"/>
      <c r="S30" s="40"/>
      <c r="T30" s="45"/>
      <c r="U30" s="41"/>
      <c r="V30" s="40"/>
      <c r="W30" s="40"/>
      <c r="X30" s="40"/>
      <c r="Y30" s="40"/>
      <c r="Z30" s="45"/>
      <c r="AA30" s="40"/>
      <c r="AB30" s="40"/>
      <c r="AC30" s="40"/>
      <c r="AD30" s="40"/>
      <c r="AE30" s="40"/>
      <c r="AF30" s="45"/>
    </row>
    <row r="31" spans="2:32" x14ac:dyDescent="0.35">
      <c r="B31" s="105" t="s">
        <v>75</v>
      </c>
      <c r="C31" s="106"/>
      <c r="D31" s="106"/>
      <c r="E31" s="106"/>
      <c r="F31" s="106"/>
      <c r="G31" s="106"/>
      <c r="H31" s="106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8"/>
    </row>
    <row r="32" spans="2:32" x14ac:dyDescent="0.35">
      <c r="B32" s="52" t="s">
        <v>7</v>
      </c>
      <c r="C32" s="41">
        <v>25.383054999999999</v>
      </c>
      <c r="D32" s="40">
        <v>1.342713</v>
      </c>
      <c r="E32" s="40">
        <v>0</v>
      </c>
      <c r="F32" s="40">
        <v>0</v>
      </c>
      <c r="G32" s="40">
        <v>0</v>
      </c>
      <c r="H32" s="45">
        <v>0</v>
      </c>
      <c r="I32" s="41">
        <v>25.383054999999999</v>
      </c>
      <c r="J32" s="40">
        <v>1.342713</v>
      </c>
      <c r="K32" s="40">
        <v>0</v>
      </c>
      <c r="L32" s="40">
        <v>0</v>
      </c>
      <c r="M32" s="40">
        <v>0</v>
      </c>
      <c r="N32" s="45">
        <v>0</v>
      </c>
      <c r="O32" s="41">
        <v>25.383054999999999</v>
      </c>
      <c r="P32" s="40">
        <v>1.342713</v>
      </c>
      <c r="Q32" s="40">
        <v>0</v>
      </c>
      <c r="R32" s="40">
        <v>0</v>
      </c>
      <c r="S32" s="40">
        <v>0</v>
      </c>
      <c r="T32" s="45">
        <v>0</v>
      </c>
      <c r="U32" s="41">
        <v>25.383054999999999</v>
      </c>
      <c r="V32" s="40">
        <v>1.342713</v>
      </c>
      <c r="W32" s="40">
        <v>0</v>
      </c>
      <c r="X32" s="40">
        <v>0</v>
      </c>
      <c r="Y32" s="40">
        <v>0</v>
      </c>
      <c r="Z32" s="45">
        <v>0</v>
      </c>
      <c r="AA32" s="41">
        <v>25.383054999999999</v>
      </c>
      <c r="AB32" s="40">
        <v>1.342713</v>
      </c>
      <c r="AC32" s="40">
        <v>0</v>
      </c>
      <c r="AD32" s="40">
        <v>0</v>
      </c>
      <c r="AE32" s="40">
        <v>0</v>
      </c>
      <c r="AF32" s="45">
        <v>0</v>
      </c>
    </row>
    <row r="33" spans="2:32" x14ac:dyDescent="0.35">
      <c r="B33" s="52" t="s">
        <v>8</v>
      </c>
      <c r="C33" s="41">
        <v>13.982509</v>
      </c>
      <c r="D33" s="40">
        <v>11.899073999999999</v>
      </c>
      <c r="E33" s="40">
        <v>4.0020449999999999</v>
      </c>
      <c r="F33" s="40">
        <v>3.6539730000000001</v>
      </c>
      <c r="G33" s="40">
        <v>2.732707</v>
      </c>
      <c r="H33" s="45">
        <v>2.0011359999999998</v>
      </c>
      <c r="I33" s="41">
        <v>13.982509</v>
      </c>
      <c r="J33" s="40">
        <v>11.899073999999999</v>
      </c>
      <c r="K33" s="40">
        <v>4.0020449999999999</v>
      </c>
      <c r="L33" s="40">
        <v>3.6539730000000001</v>
      </c>
      <c r="M33" s="40">
        <v>2.732707</v>
      </c>
      <c r="N33" s="45">
        <v>2.0011359999999998</v>
      </c>
      <c r="O33" s="41">
        <v>13.982509</v>
      </c>
      <c r="P33" s="40">
        <v>11.899073999999999</v>
      </c>
      <c r="Q33" s="40">
        <v>4.0020449999999999</v>
      </c>
      <c r="R33" s="40">
        <v>3.6539730000000001</v>
      </c>
      <c r="S33" s="40">
        <v>2.732707</v>
      </c>
      <c r="T33" s="45">
        <v>2.0011359999999998</v>
      </c>
      <c r="U33" s="41">
        <v>13.982509</v>
      </c>
      <c r="V33" s="40">
        <v>11.899073999999999</v>
      </c>
      <c r="W33" s="40">
        <v>4.0020449999999999</v>
      </c>
      <c r="X33" s="40">
        <v>3.6539730000000001</v>
      </c>
      <c r="Y33" s="40">
        <v>2.732707</v>
      </c>
      <c r="Z33" s="45">
        <v>2.0011359999999998</v>
      </c>
      <c r="AA33" s="41">
        <v>13.982509</v>
      </c>
      <c r="AB33" s="40">
        <v>11.899073999999999</v>
      </c>
      <c r="AC33" s="40">
        <v>4.0020449999999999</v>
      </c>
      <c r="AD33" s="40">
        <v>3.6539730000000001</v>
      </c>
      <c r="AE33" s="40">
        <v>2.732707</v>
      </c>
      <c r="AF33" s="45">
        <v>2.0011359999999998</v>
      </c>
    </row>
    <row r="34" spans="2:32" x14ac:dyDescent="0.35">
      <c r="B34" s="52" t="s">
        <v>9</v>
      </c>
      <c r="C34" s="41">
        <v>7.6782886000000001</v>
      </c>
      <c r="D34" s="40">
        <v>5.5122572000000005</v>
      </c>
      <c r="E34" s="40">
        <v>3.1874236000000002</v>
      </c>
      <c r="F34" s="40">
        <v>2.8340396000000001</v>
      </c>
      <c r="G34" s="40">
        <v>1.5036238000000002</v>
      </c>
      <c r="H34" s="45">
        <v>0.74399879999999996</v>
      </c>
      <c r="I34" s="41">
        <v>7.9681269999999991</v>
      </c>
      <c r="J34" s="40">
        <v>4.4826037999999997</v>
      </c>
      <c r="K34" s="40">
        <v>3.3876342000000004</v>
      </c>
      <c r="L34" s="40">
        <v>2.9720599999999999</v>
      </c>
      <c r="M34" s="40">
        <v>1.4674122000000001</v>
      </c>
      <c r="N34" s="45">
        <v>0.70778719999999995</v>
      </c>
      <c r="O34" s="41">
        <v>7.9681269999999991</v>
      </c>
      <c r="P34" s="40">
        <v>4.4826037999999997</v>
      </c>
      <c r="Q34" s="40">
        <v>3.3876342000000004</v>
      </c>
      <c r="R34" s="40">
        <v>2.9720599999999999</v>
      </c>
      <c r="S34" s="40">
        <v>1.4674122000000001</v>
      </c>
      <c r="T34" s="45">
        <v>0.70778719999999995</v>
      </c>
      <c r="U34" s="41">
        <v>7.9681269999999991</v>
      </c>
      <c r="V34" s="40">
        <v>4.4826037999999997</v>
      </c>
      <c r="W34" s="40">
        <v>3.3876342000000004</v>
      </c>
      <c r="X34" s="40">
        <v>2.9720599999999999</v>
      </c>
      <c r="Y34" s="40">
        <v>1.4674122000000001</v>
      </c>
      <c r="Z34" s="45">
        <v>0.70778719999999995</v>
      </c>
      <c r="AA34" s="41">
        <v>7.9681269999999991</v>
      </c>
      <c r="AB34" s="40">
        <v>4.4826037999999997</v>
      </c>
      <c r="AC34" s="40">
        <v>3.3876342000000004</v>
      </c>
      <c r="AD34" s="40">
        <v>2.9720599999999999</v>
      </c>
      <c r="AE34" s="40">
        <v>1.4674122000000001</v>
      </c>
      <c r="AF34" s="45">
        <v>0.70778719999999995</v>
      </c>
    </row>
    <row r="35" spans="2:32" x14ac:dyDescent="0.35">
      <c r="B35" s="52" t="s">
        <v>10</v>
      </c>
      <c r="C35" s="41">
        <v>4.9770390000000004</v>
      </c>
      <c r="D35" s="40">
        <v>3.8389145999999998</v>
      </c>
      <c r="E35" s="40">
        <v>1.9076924000000002</v>
      </c>
      <c r="F35" s="40">
        <v>1.6425042000000001</v>
      </c>
      <c r="G35" s="40">
        <v>0.89836860000000007</v>
      </c>
      <c r="H35" s="45">
        <v>0.45229059999999999</v>
      </c>
      <c r="I35" s="41">
        <v>4.8923845999999998</v>
      </c>
      <c r="J35" s="40">
        <v>2.8837983999999999</v>
      </c>
      <c r="K35" s="40">
        <v>1.9466620000000001</v>
      </c>
      <c r="L35" s="40">
        <v>1.7577516000000002</v>
      </c>
      <c r="M35" s="40">
        <v>0.87122300000000008</v>
      </c>
      <c r="N35" s="45">
        <v>0.425145</v>
      </c>
      <c r="O35" s="41">
        <v>4.8923845999999998</v>
      </c>
      <c r="P35" s="40">
        <v>2.8837983999999999</v>
      </c>
      <c r="Q35" s="40">
        <v>1.9466620000000001</v>
      </c>
      <c r="R35" s="40">
        <v>1.7577516000000002</v>
      </c>
      <c r="S35" s="40">
        <v>0.87122300000000008</v>
      </c>
      <c r="T35" s="45">
        <v>0.425145</v>
      </c>
      <c r="U35" s="41">
        <v>4.8923845999999998</v>
      </c>
      <c r="V35" s="40">
        <v>2.8837983999999999</v>
      </c>
      <c r="W35" s="40">
        <v>1.9466620000000001</v>
      </c>
      <c r="X35" s="40">
        <v>1.7577516000000002</v>
      </c>
      <c r="Y35" s="40">
        <v>0.87122300000000008</v>
      </c>
      <c r="Z35" s="45">
        <v>0.425145</v>
      </c>
      <c r="AA35" s="41">
        <v>4.8923845999999998</v>
      </c>
      <c r="AB35" s="40">
        <v>2.8837983999999999</v>
      </c>
      <c r="AC35" s="40">
        <v>1.9466620000000001</v>
      </c>
      <c r="AD35" s="40">
        <v>1.7577516000000002</v>
      </c>
      <c r="AE35" s="40">
        <v>0.87122300000000008</v>
      </c>
      <c r="AF35" s="45">
        <v>0.425145</v>
      </c>
    </row>
    <row r="36" spans="2:32" x14ac:dyDescent="0.35">
      <c r="B36" s="52" t="s">
        <v>11</v>
      </c>
      <c r="C36" s="41">
        <v>3.7893446000000002</v>
      </c>
      <c r="D36" s="40">
        <v>2.8016706</v>
      </c>
      <c r="E36" s="40">
        <v>1.618665</v>
      </c>
      <c r="F36" s="40">
        <v>1.3776826</v>
      </c>
      <c r="G36" s="40">
        <v>0.75669200000000003</v>
      </c>
      <c r="H36" s="45">
        <v>0.39962800000000004</v>
      </c>
      <c r="I36" s="41">
        <v>3.9081625999999998</v>
      </c>
      <c r="J36" s="40">
        <v>2.2095090000000002</v>
      </c>
      <c r="K36" s="40">
        <v>1.7076258</v>
      </c>
      <c r="L36" s="40">
        <v>1.4870480000000001</v>
      </c>
      <c r="M36" s="40">
        <v>0.72757400000000005</v>
      </c>
      <c r="N36" s="45">
        <v>0.37051000000000001</v>
      </c>
      <c r="O36" s="41">
        <v>3.9081625999999998</v>
      </c>
      <c r="P36" s="40">
        <v>2.2095090000000002</v>
      </c>
      <c r="Q36" s="40">
        <v>1.7076258</v>
      </c>
      <c r="R36" s="40">
        <v>1.4870480000000001</v>
      </c>
      <c r="S36" s="40">
        <v>0.72757400000000005</v>
      </c>
      <c r="T36" s="45">
        <v>0.37051000000000001</v>
      </c>
      <c r="U36" s="41">
        <v>3.9081625999999998</v>
      </c>
      <c r="V36" s="40">
        <v>2.2095090000000002</v>
      </c>
      <c r="W36" s="40">
        <v>1.7076258</v>
      </c>
      <c r="X36" s="40">
        <v>1.4870480000000001</v>
      </c>
      <c r="Y36" s="40">
        <v>0.72757400000000005</v>
      </c>
      <c r="Z36" s="45">
        <v>0.37051000000000001</v>
      </c>
      <c r="AA36" s="41">
        <v>3.9081625999999998</v>
      </c>
      <c r="AB36" s="40">
        <v>2.2095090000000002</v>
      </c>
      <c r="AC36" s="40">
        <v>1.7076258</v>
      </c>
      <c r="AD36" s="40">
        <v>1.4870480000000001</v>
      </c>
      <c r="AE36" s="40">
        <v>0.72757400000000005</v>
      </c>
      <c r="AF36" s="45">
        <v>0.37051000000000001</v>
      </c>
    </row>
    <row r="37" spans="2:32" ht="17" thickBot="1" x14ac:dyDescent="0.4">
      <c r="B37" s="53" t="s">
        <v>12</v>
      </c>
      <c r="C37" s="42">
        <v>2.5756234000000005</v>
      </c>
      <c r="D37" s="43">
        <v>1.8996960000000001</v>
      </c>
      <c r="E37" s="43">
        <v>1.0406918000000001</v>
      </c>
      <c r="F37" s="43">
        <v>0.87281319999999996</v>
      </c>
      <c r="G37" s="43">
        <v>0.39249440000000002</v>
      </c>
      <c r="H37" s="51">
        <v>0.21778140000000001</v>
      </c>
      <c r="I37" s="42">
        <v>2.3491200000000001</v>
      </c>
      <c r="J37" s="43">
        <v>1.2671600000000001</v>
      </c>
      <c r="K37" s="43">
        <v>0.95491239999999999</v>
      </c>
      <c r="L37" s="43">
        <v>0.89802500000000007</v>
      </c>
      <c r="M37" s="43">
        <v>0.36144660000000001</v>
      </c>
      <c r="N37" s="51">
        <v>0.1867336</v>
      </c>
      <c r="O37" s="42">
        <v>2.3491200000000001</v>
      </c>
      <c r="P37" s="43">
        <v>1.2671600000000001</v>
      </c>
      <c r="Q37" s="43">
        <v>0.95491239999999999</v>
      </c>
      <c r="R37" s="43">
        <v>0.89802500000000007</v>
      </c>
      <c r="S37" s="43">
        <v>0.36144660000000001</v>
      </c>
      <c r="T37" s="51">
        <v>0.1867336</v>
      </c>
      <c r="U37" s="42">
        <v>2.3491200000000001</v>
      </c>
      <c r="V37" s="43">
        <v>1.2671600000000001</v>
      </c>
      <c r="W37" s="43">
        <v>0.95491239999999999</v>
      </c>
      <c r="X37" s="43">
        <v>0.89802500000000007</v>
      </c>
      <c r="Y37" s="43">
        <v>0.36144660000000001</v>
      </c>
      <c r="Z37" s="51">
        <v>0.1867336</v>
      </c>
      <c r="AA37" s="42">
        <v>2.3491200000000001</v>
      </c>
      <c r="AB37" s="43">
        <v>1.2671600000000001</v>
      </c>
      <c r="AC37" s="43">
        <v>0.95491239999999999</v>
      </c>
      <c r="AD37" s="43">
        <v>0.89802500000000007</v>
      </c>
      <c r="AE37" s="43">
        <v>0.36144660000000001</v>
      </c>
      <c r="AF37" s="51">
        <v>0.1867336</v>
      </c>
    </row>
    <row r="38" spans="2:32" x14ac:dyDescent="0.35">
      <c r="B38" s="105" t="s">
        <v>76</v>
      </c>
      <c r="C38" s="106"/>
      <c r="D38" s="106"/>
      <c r="E38" s="106"/>
      <c r="F38" s="106"/>
      <c r="G38" s="106"/>
      <c r="H38" s="106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8"/>
    </row>
    <row r="39" spans="2:32" ht="17" thickBot="1" x14ac:dyDescent="0.4">
      <c r="B39" s="54"/>
      <c r="C39" s="55">
        <v>0.1</v>
      </c>
      <c r="D39" s="44">
        <v>0.1</v>
      </c>
      <c r="E39" s="44">
        <v>0.15</v>
      </c>
      <c r="F39" s="44">
        <v>0.15</v>
      </c>
      <c r="G39" s="44">
        <v>0.1</v>
      </c>
      <c r="H39" s="56">
        <v>0.1</v>
      </c>
      <c r="I39" s="55">
        <v>0.1</v>
      </c>
      <c r="J39" s="44">
        <v>0.1</v>
      </c>
      <c r="K39" s="44">
        <v>0.15</v>
      </c>
      <c r="L39" s="44">
        <v>0.15</v>
      </c>
      <c r="M39" s="44">
        <v>0.1</v>
      </c>
      <c r="N39" s="56">
        <v>0.1</v>
      </c>
      <c r="O39" s="55">
        <v>0.1</v>
      </c>
      <c r="P39" s="44">
        <v>0.1</v>
      </c>
      <c r="Q39" s="44">
        <v>0.15</v>
      </c>
      <c r="R39" s="44">
        <v>0.15</v>
      </c>
      <c r="S39" s="44">
        <v>0.1</v>
      </c>
      <c r="T39" s="56">
        <v>0.1</v>
      </c>
      <c r="U39" s="55">
        <v>0.1</v>
      </c>
      <c r="V39" s="44">
        <v>0.1</v>
      </c>
      <c r="W39" s="44">
        <v>0.15</v>
      </c>
      <c r="X39" s="44">
        <v>0.15</v>
      </c>
      <c r="Y39" s="44">
        <v>0.1</v>
      </c>
      <c r="Z39" s="56">
        <v>0.1</v>
      </c>
      <c r="AA39" s="55">
        <v>0.1</v>
      </c>
      <c r="AB39" s="44">
        <v>0.1</v>
      </c>
      <c r="AC39" s="44">
        <v>0.15</v>
      </c>
      <c r="AD39" s="44">
        <v>0.15</v>
      </c>
      <c r="AE39" s="44">
        <v>0.1</v>
      </c>
      <c r="AF39" s="56">
        <v>0.1</v>
      </c>
    </row>
    <row r="43" spans="2:32" x14ac:dyDescent="0.35">
      <c r="E43" s="57"/>
    </row>
    <row r="44" spans="2:32" x14ac:dyDescent="0.35">
      <c r="E44" s="57"/>
    </row>
    <row r="45" spans="2:32" x14ac:dyDescent="0.35">
      <c r="E45" s="57"/>
    </row>
    <row r="46" spans="2:32" x14ac:dyDescent="0.35">
      <c r="E46" s="57"/>
    </row>
    <row r="47" spans="2:32" x14ac:dyDescent="0.35">
      <c r="E47" s="57"/>
    </row>
    <row r="48" spans="2:32" x14ac:dyDescent="0.35">
      <c r="E48" s="57"/>
    </row>
  </sheetData>
  <mergeCells count="8">
    <mergeCell ref="B38:AF38"/>
    <mergeCell ref="B2:AF2"/>
    <mergeCell ref="B31:AF31"/>
    <mergeCell ref="C3:H3"/>
    <mergeCell ref="I3:N3"/>
    <mergeCell ref="O3:T3"/>
    <mergeCell ref="U3:Z3"/>
    <mergeCell ref="AA3:AF3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4AA46-8778-4C77-A4F4-68B15D2E895C}">
  <dimension ref="A1:C5"/>
  <sheetViews>
    <sheetView tabSelected="1" workbookViewId="0">
      <selection activeCell="C3" sqref="C3"/>
    </sheetView>
  </sheetViews>
  <sheetFormatPr baseColWidth="10" defaultRowHeight="14.5" x14ac:dyDescent="0.35"/>
  <cols>
    <col min="2" max="3" width="10.453125" bestFit="1" customWidth="1"/>
  </cols>
  <sheetData>
    <row r="1" spans="1:3" x14ac:dyDescent="0.35">
      <c r="A1" t="s">
        <v>151</v>
      </c>
      <c r="B1" t="s">
        <v>152</v>
      </c>
      <c r="C1" t="s">
        <v>153</v>
      </c>
    </row>
    <row r="2" spans="1:3" x14ac:dyDescent="0.35">
      <c r="A2">
        <v>1</v>
      </c>
      <c r="B2" s="83">
        <v>44927</v>
      </c>
      <c r="C2" s="83">
        <v>46022</v>
      </c>
    </row>
    <row r="3" spans="1:3" x14ac:dyDescent="0.35">
      <c r="A3">
        <v>2</v>
      </c>
    </row>
    <row r="4" spans="1:3" x14ac:dyDescent="0.35">
      <c r="A4">
        <v>3</v>
      </c>
    </row>
    <row r="5" spans="1:3" x14ac:dyDescent="0.35">
      <c r="A5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705FD87D100D41960F4EE474A8B63D" ma:contentTypeVersion="17" ma:contentTypeDescription="Crear nuevo documento." ma:contentTypeScope="" ma:versionID="056a0e3e32df2094b4c1937fabd82040">
  <xsd:schema xmlns:xsd="http://www.w3.org/2001/XMLSchema" xmlns:xs="http://www.w3.org/2001/XMLSchema" xmlns:p="http://schemas.microsoft.com/office/2006/metadata/properties" xmlns:ns2="f9242ec2-cd03-4b4a-aa05-a9ea2c005ea3" xmlns:ns3="f37c419b-1b9e-4a10-bd60-378bbfaeba85" targetNamespace="http://schemas.microsoft.com/office/2006/metadata/properties" ma:root="true" ma:fieldsID="7b2f9df3ad1f6464ff9f43d83ce760e5" ns2:_="" ns3:_="">
    <xsd:import namespace="f9242ec2-cd03-4b4a-aa05-a9ea2c005ea3"/>
    <xsd:import namespace="f37c419b-1b9e-4a10-bd60-378bbfaeba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242ec2-cd03-4b4a-aa05-a9ea2c005e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Etiquetas de imagen" ma:readOnly="false" ma:fieldId="{5cf76f15-5ced-4ddc-b409-7134ff3c332f}" ma:taxonomyMulti="true" ma:sspId="941f9314-07c1-43ad-84e4-00136e4d8f8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7c419b-1b9e-4a10-bd60-378bbfaeba85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89bc0fc1-0288-42e8-a826-414f6dc59e72}" ma:internalName="TaxCatchAll" ma:showField="CatchAllData" ma:web="f37c419b-1b9e-4a10-bd60-378bbfaeba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9242ec2-cd03-4b4a-aa05-a9ea2c005ea3">
      <Terms xmlns="http://schemas.microsoft.com/office/infopath/2007/PartnerControls"/>
    </lcf76f155ced4ddcb4097134ff3c332f>
    <TaxCatchAll xmlns="f37c419b-1b9e-4a10-bd60-378bbfaeba85" xsi:nil="true"/>
  </documentManagement>
</p:properties>
</file>

<file path=customXml/itemProps1.xml><?xml version="1.0" encoding="utf-8"?>
<ds:datastoreItem xmlns:ds="http://schemas.openxmlformats.org/officeDocument/2006/customXml" ds:itemID="{DD9EBDC4-D510-477A-AB6B-556196B517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242ec2-cd03-4b4a-aa05-a9ea2c005ea3"/>
    <ds:schemaRef ds:uri="f37c419b-1b9e-4a10-bd60-378bbfaeba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4FD9F3B-85DD-4FDF-A5E9-EB1AA5B991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640F2C-0574-442C-9BB1-9C42400AE1F7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terms/"/>
    <ds:schemaRef ds:uri="f9242ec2-cd03-4b4a-aa05-a9ea2c005ea3"/>
    <ds:schemaRef ds:uri="http://schemas.openxmlformats.org/package/2006/metadata/core-properties"/>
    <ds:schemaRef ds:uri="http://schemas.microsoft.com/office/infopath/2007/PartnerControls"/>
    <ds:schemaRef ds:uri="f37c419b-1b9e-4a10-bd60-378bbfaeba85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Contrato Marco</vt:lpstr>
      <vt:lpstr>Ficha Cliente</vt:lpstr>
      <vt:lpstr>Potencia</vt:lpstr>
      <vt:lpstr>Electrointensivos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Claudia Rios Marcos</dc:creator>
  <cp:keywords/>
  <dc:description/>
  <cp:lastModifiedBy>Mikel Perez Yarnoz</cp:lastModifiedBy>
  <cp:revision/>
  <dcterms:created xsi:type="dcterms:W3CDTF">2023-04-27T07:56:47Z</dcterms:created>
  <dcterms:modified xsi:type="dcterms:W3CDTF">2025-07-03T07:20:08Z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0x01010011705FD87D100D41960F4EE474A8B63D</vt:lpwstr>
  </property>
</Properties>
</file>